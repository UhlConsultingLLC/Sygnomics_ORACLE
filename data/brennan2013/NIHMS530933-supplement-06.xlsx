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checkCompatibility="1" autoCompressPictures="0"/>
  <bookViews>
    <workbookView xWindow="0" yWindow="0" windowWidth="25600" windowHeight="16060"/>
  </bookViews>
  <sheets>
    <sheet name="Genomic Rearrangements" sheetId="5" r:id="rId1"/>
  </sheets>
  <definedNames>
    <definedName name="Gene_annotation" localSheetId="0">'Genomic Rearrangements'!#REF!</definedName>
    <definedName name="_xlnm.Print_Area" localSheetId="0">'Genomic Rearrangements'!$A$1:$P$465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37" i="5" l="1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</calcChain>
</file>

<file path=xl/connections.xml><?xml version="1.0" encoding="utf-8"?>
<connections xmlns="http://schemas.openxmlformats.org/spreadsheetml/2006/main">
  <connection id="1" name="Gene_annotation" type="6" refreshedVersion="3" background="1" saveData="1">
    <textPr codePage="10006" sourceFile="W:\TCGA_GBM\Gene_annotation.txt">
      <textFields count="7"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<sst xmlns="http://schemas.openxmlformats.org/spreadsheetml/2006/main" count="5104" uniqueCount="1335">
  <si>
    <t>TCGA-06-0145</t>
  </si>
  <si>
    <t>TCGA-06-0152</t>
  </si>
  <si>
    <t>TCGA-06-0155</t>
  </si>
  <si>
    <t>TCGA-06-0185</t>
  </si>
  <si>
    <t>TCGA-06-0188</t>
  </si>
  <si>
    <t>TCGA-06-0648</t>
  </si>
  <si>
    <t>TCGA-06-0877</t>
  </si>
  <si>
    <t>TCGA-06-1086</t>
  </si>
  <si>
    <t>TCGA-14-0786</t>
  </si>
  <si>
    <t>TCGA-14-1459</t>
  </si>
  <si>
    <t>TCGA-16-1063</t>
  </si>
  <si>
    <t>TCGA-26-1438</t>
  </si>
  <si>
    <t>yes</t>
  </si>
  <si>
    <t>no</t>
  </si>
  <si>
    <t>BamBam</t>
  </si>
  <si>
    <t>TCGA-06-0214</t>
  </si>
  <si>
    <t>TCGA-16-1460</t>
  </si>
  <si>
    <t>NA</t>
  </si>
  <si>
    <t>TCGA-02-2483</t>
  </si>
  <si>
    <t>TCGA-02-2485</t>
  </si>
  <si>
    <t>TCGA-02-2486</t>
  </si>
  <si>
    <t>TCGA-06-0125</t>
  </si>
  <si>
    <t>TCGA-06-0129</t>
  </si>
  <si>
    <t>TCGA-06-0130</t>
  </si>
  <si>
    <t>TCGA-06-0132</t>
  </si>
  <si>
    <t>TCGA-06-0138</t>
  </si>
  <si>
    <t>TCGA-06-0141</t>
  </si>
  <si>
    <t>TCGA-06-0156</t>
  </si>
  <si>
    <t>TCGA-06-0157</t>
  </si>
  <si>
    <t>TCGA-06-0158</t>
  </si>
  <si>
    <t>TCGA-06-0174</t>
  </si>
  <si>
    <t>TCGA-06-0178</t>
  </si>
  <si>
    <t>TCGA-06-0184</t>
  </si>
  <si>
    <t>TCGA-06-0187</t>
  </si>
  <si>
    <t>TCGA-06-0190</t>
  </si>
  <si>
    <t>TCGA-06-0210</t>
  </si>
  <si>
    <t>TCGA-06-0211</t>
  </si>
  <si>
    <t>TCGA-06-0219</t>
  </si>
  <si>
    <t>TCGA-06-0238</t>
  </si>
  <si>
    <t>TCGA-06-0644</t>
  </si>
  <si>
    <t>TCGA-06-0645</t>
  </si>
  <si>
    <t>TCGA-06-0649</t>
  </si>
  <si>
    <t>TCGA-06-0686</t>
  </si>
  <si>
    <t>TCGA-06-0743</t>
  </si>
  <si>
    <t>TCGA-06-0744</t>
  </si>
  <si>
    <t>TCGA-06-0745</t>
  </si>
  <si>
    <t>TCGA-06-0747</t>
  </si>
  <si>
    <t>TCGA-06-0750</t>
  </si>
  <si>
    <t>TCGA-06-0878</t>
  </si>
  <si>
    <t>TCGA-06-0882</t>
  </si>
  <si>
    <t>TCGA-06-1804</t>
  </si>
  <si>
    <t>TCGA-06-2557</t>
  </si>
  <si>
    <t>TCGA-06-2558</t>
  </si>
  <si>
    <t>TCGA-06-2559</t>
  </si>
  <si>
    <t>TCGA-06-2561</t>
  </si>
  <si>
    <t>TCGA-06-2562</t>
  </si>
  <si>
    <t>TCGA-06-2563</t>
  </si>
  <si>
    <t>TCGA-06-2565</t>
  </si>
  <si>
    <t>TCGA-06-2569</t>
  </si>
  <si>
    <t>TCGA-06-2570</t>
  </si>
  <si>
    <t>TCGA-06-5412</t>
  </si>
  <si>
    <t>TCGA-06-5413</t>
  </si>
  <si>
    <t>TCGA-06-5415</t>
  </si>
  <si>
    <t>TCGA-06-5856</t>
  </si>
  <si>
    <t>TCGA-06-5859</t>
  </si>
  <si>
    <t>TCGA-08-0386</t>
  </si>
  <si>
    <t>TCGA-12-0616</t>
  </si>
  <si>
    <t>TCGA-12-0619</t>
  </si>
  <si>
    <t>TCGA-12-1597</t>
  </si>
  <si>
    <t>TCGA-12-3650</t>
  </si>
  <si>
    <t>TCGA-12-3652</t>
  </si>
  <si>
    <t>TCGA-12-5295</t>
  </si>
  <si>
    <t>TCGA-14-0781</t>
  </si>
  <si>
    <t>TCGA-14-0787</t>
  </si>
  <si>
    <t>TCGA-14-0789</t>
  </si>
  <si>
    <t>TCGA-14-0790</t>
  </si>
  <si>
    <t>TCGA-14-0817</t>
  </si>
  <si>
    <t>TCGA-14-1034</t>
  </si>
  <si>
    <t>TCGA-14-2554</t>
  </si>
  <si>
    <t>TCGA-16-1045</t>
  </si>
  <si>
    <t>TCGA-19-1787</t>
  </si>
  <si>
    <t>TCGA-19-2619</t>
  </si>
  <si>
    <t>TCGA-19-2620</t>
  </si>
  <si>
    <t>TCGA-19-2624</t>
  </si>
  <si>
    <t>TCGA-19-2625</t>
  </si>
  <si>
    <t>TCGA-19-2629</t>
  </si>
  <si>
    <t>TCGA-19-5960</t>
  </si>
  <si>
    <t>TCGA-26-5132</t>
  </si>
  <si>
    <t>TCGA-26-5133</t>
  </si>
  <si>
    <t>TCGA-26-5135</t>
  </si>
  <si>
    <t>TCGA-26-5136</t>
  </si>
  <si>
    <t>TCGA-27-1830</t>
  </si>
  <si>
    <t>TCGA-27-1834</t>
  </si>
  <si>
    <t>TCGA-27-1835</t>
  </si>
  <si>
    <t>TCGA-27-1837</t>
  </si>
  <si>
    <t>TCGA-27-2519</t>
  </si>
  <si>
    <t>TCGA-27-2521</t>
  </si>
  <si>
    <t>TCGA-27-2523</t>
  </si>
  <si>
    <t>TCGA-27-2524</t>
  </si>
  <si>
    <t>TCGA-27-2528</t>
  </si>
  <si>
    <t>TCGA-28-1747</t>
  </si>
  <si>
    <t>TCGA-28-2513</t>
  </si>
  <si>
    <t>TCGA-28-2514</t>
  </si>
  <si>
    <t>TCGA-28-5204</t>
  </si>
  <si>
    <t>TCGA-28-5208</t>
  </si>
  <si>
    <t>TCGA-28-5216</t>
  </si>
  <si>
    <t>TCGA-32-1970</t>
  </si>
  <si>
    <t>TCGA-32-2615</t>
  </si>
  <si>
    <t>TCGA-32-2638</t>
  </si>
  <si>
    <t>TCGA-32-5222</t>
  </si>
  <si>
    <t>TCGA-41-2571</t>
  </si>
  <si>
    <t>TCGA-41-2572</t>
  </si>
  <si>
    <t>TCGA-41-4097</t>
  </si>
  <si>
    <t>TCGA-41-5651</t>
  </si>
  <si>
    <t>TCGA-76-4925</t>
  </si>
  <si>
    <t>TCGA-76-4926</t>
  </si>
  <si>
    <t>TCGA-76-4928</t>
  </si>
  <si>
    <t>TCGA-76-4929</t>
  </si>
  <si>
    <t>TCGA-06-5411</t>
  </si>
  <si>
    <t>EGFR</t>
  </si>
  <si>
    <t>FAF1</t>
  </si>
  <si>
    <t>LRP1</t>
  </si>
  <si>
    <t>MON2</t>
  </si>
  <si>
    <t>CTDSP2</t>
  </si>
  <si>
    <t>SLC16A7</t>
  </si>
  <si>
    <t>R3HDM2</t>
  </si>
  <si>
    <t>SRGAP1</t>
  </si>
  <si>
    <t>OSBPL9</t>
  </si>
  <si>
    <t>C1orf185</t>
  </si>
  <si>
    <t>EPS15</t>
  </si>
  <si>
    <t>RBM6</t>
  </si>
  <si>
    <t>HSD11B1</t>
  </si>
  <si>
    <t>KCNH1</t>
  </si>
  <si>
    <t>AIDA</t>
  </si>
  <si>
    <t>C12orf56</t>
  </si>
  <si>
    <t>LEMD3</t>
  </si>
  <si>
    <t>HMGA2</t>
  </si>
  <si>
    <t>PTPRR</t>
  </si>
  <si>
    <t>MYO18B</t>
  </si>
  <si>
    <t>UBR4</t>
  </si>
  <si>
    <t>TRDN</t>
  </si>
  <si>
    <t>NBPF3</t>
  </si>
  <si>
    <t>PAFAH2</t>
  </si>
  <si>
    <t>EPHB2</t>
  </si>
  <si>
    <t>C1orf201</t>
  </si>
  <si>
    <t>MAN1C1</t>
  </si>
  <si>
    <t>NRD1</t>
  </si>
  <si>
    <t>ZNF326</t>
  </si>
  <si>
    <t>ACO1</t>
  </si>
  <si>
    <t>MDM2</t>
  </si>
  <si>
    <t>ARID1A</t>
  </si>
  <si>
    <t>SERINC5</t>
  </si>
  <si>
    <t>FARS2</t>
  </si>
  <si>
    <t>CAPZB</t>
  </si>
  <si>
    <t>CDA</t>
  </si>
  <si>
    <t>EIF4G3</t>
  </si>
  <si>
    <t>CLIC4</t>
  </si>
  <si>
    <t>GALNTL4</t>
  </si>
  <si>
    <t>GRIP1</t>
  </si>
  <si>
    <t>MAP3K13</t>
  </si>
  <si>
    <t>CLTA</t>
  </si>
  <si>
    <t>B_chr</t>
  </si>
  <si>
    <t>C1orf61</t>
  </si>
  <si>
    <t>RHBG</t>
  </si>
  <si>
    <t>ZCCHC17</t>
  </si>
  <si>
    <t>FABP3</t>
  </si>
  <si>
    <t>KIF1B</t>
  </si>
  <si>
    <t>UBE4B</t>
  </si>
  <si>
    <t>CNN3</t>
  </si>
  <si>
    <t>ALG14</t>
  </si>
  <si>
    <t>NUCKS1</t>
  </si>
  <si>
    <t>PM20D1</t>
  </si>
  <si>
    <t>MTF1</t>
  </si>
  <si>
    <t>SF3A3</t>
  </si>
  <si>
    <t>YARS</t>
  </si>
  <si>
    <t>RNF19B</t>
  </si>
  <si>
    <t>SRRM1</t>
  </si>
  <si>
    <t>ZBTB48</t>
  </si>
  <si>
    <t>ESPN</t>
  </si>
  <si>
    <t>NFASC</t>
  </si>
  <si>
    <t>LRRN2</t>
  </si>
  <si>
    <t>PLEKHM2</t>
  </si>
  <si>
    <t>TMEM51</t>
  </si>
  <si>
    <t>SKI</t>
  </si>
  <si>
    <t>SSU72</t>
  </si>
  <si>
    <t>SOX13</t>
  </si>
  <si>
    <t>HDAC1</t>
  </si>
  <si>
    <t>SERINC2</t>
  </si>
  <si>
    <t>ASH1L</t>
  </si>
  <si>
    <t>CEP170</t>
  </si>
  <si>
    <t>C1orf100</t>
  </si>
  <si>
    <t>NEGR1</t>
  </si>
  <si>
    <t>ZRANB2</t>
  </si>
  <si>
    <t>PRELP</t>
  </si>
  <si>
    <t>PGD</t>
  </si>
  <si>
    <t>CAMTA1</t>
  </si>
  <si>
    <t>AKT3</t>
  </si>
  <si>
    <t>C1orf150</t>
  </si>
  <si>
    <t>MTOR</t>
  </si>
  <si>
    <t>CSMD2</t>
  </si>
  <si>
    <t>TMEM222</t>
  </si>
  <si>
    <t>PLOD1</t>
  </si>
  <si>
    <t>MED18</t>
  </si>
  <si>
    <t>GATAD2B</t>
  </si>
  <si>
    <t>TNFSF18</t>
  </si>
  <si>
    <t>CERS2</t>
  </si>
  <si>
    <t>PIGC</t>
  </si>
  <si>
    <t>BEND5</t>
  </si>
  <si>
    <t>RPS6KC1</t>
  </si>
  <si>
    <t>LYST</t>
  </si>
  <si>
    <t>UBIAD1</t>
  </si>
  <si>
    <t>PTBP2</t>
  </si>
  <si>
    <t>RTN3</t>
  </si>
  <si>
    <t>BAI2</t>
  </si>
  <si>
    <t>HS3ST4</t>
  </si>
  <si>
    <t>RNF31</t>
  </si>
  <si>
    <t>MEF2D</t>
  </si>
  <si>
    <t>ZDHHC5</t>
  </si>
  <si>
    <t>MIIP</t>
  </si>
  <si>
    <t>CMYA5</t>
  </si>
  <si>
    <t>CHI3L1</t>
  </si>
  <si>
    <t>GFAP</t>
  </si>
  <si>
    <t>SRM</t>
  </si>
  <si>
    <t>SMEK1</t>
  </si>
  <si>
    <t>SCCPDH</t>
  </si>
  <si>
    <t>HDLBP</t>
  </si>
  <si>
    <t>JMJD1C</t>
  </si>
  <si>
    <t>NRBF2</t>
  </si>
  <si>
    <t>C10orf26</t>
  </si>
  <si>
    <t>SUFU</t>
  </si>
  <si>
    <t>ARHGAP21</t>
  </si>
  <si>
    <t>ENKUR</t>
  </si>
  <si>
    <t>STAMBPL1</t>
  </si>
  <si>
    <t>ATAD1</t>
  </si>
  <si>
    <t>BMPR1A</t>
  </si>
  <si>
    <t>LIPA</t>
  </si>
  <si>
    <t>ENTPD7</t>
  </si>
  <si>
    <t>IDE</t>
  </si>
  <si>
    <t>DOCK1</t>
  </si>
  <si>
    <t>DPCD</t>
  </si>
  <si>
    <t>DPF2</t>
  </si>
  <si>
    <t>POLA2</t>
  </si>
  <si>
    <t>KDM2A</t>
  </si>
  <si>
    <t>SYT12</t>
  </si>
  <si>
    <t>METTL12</t>
  </si>
  <si>
    <t>LRP5</t>
  </si>
  <si>
    <t>ATG16L2</t>
  </si>
  <si>
    <t>PATL1</t>
  </si>
  <si>
    <t>TECTA</t>
  </si>
  <si>
    <t>MTMR2</t>
  </si>
  <si>
    <t>DPM1</t>
  </si>
  <si>
    <t>ARHGEF25</t>
  </si>
  <si>
    <t>B4GALNT1</t>
  </si>
  <si>
    <t>METTL1</t>
  </si>
  <si>
    <t>AGAP2</t>
  </si>
  <si>
    <t>CYP27B1</t>
  </si>
  <si>
    <t>OS9</t>
  </si>
  <si>
    <t>DDIT3</t>
  </si>
  <si>
    <t>GLI1</t>
  </si>
  <si>
    <t>RAP1B</t>
  </si>
  <si>
    <t>CPM</t>
  </si>
  <si>
    <t>PIP4K2C</t>
  </si>
  <si>
    <t>TSFM</t>
  </si>
  <si>
    <t>INHBE</t>
  </si>
  <si>
    <t>NCOR2</t>
  </si>
  <si>
    <t>DHX37</t>
  </si>
  <si>
    <t>TMEM19</t>
  </si>
  <si>
    <t>TSPAN8</t>
  </si>
  <si>
    <t>RPL41</t>
  </si>
  <si>
    <t>NACA</t>
  </si>
  <si>
    <t>XRCC6BP1</t>
  </si>
  <si>
    <t>DIP2B</t>
  </si>
  <si>
    <t>TMBIM6</t>
  </si>
  <si>
    <t>ATXN2</t>
  </si>
  <si>
    <t>RPL6</t>
  </si>
  <si>
    <t>EFCAB4B</t>
  </si>
  <si>
    <t>C12orf4</t>
  </si>
  <si>
    <t>CPSF6</t>
  </si>
  <si>
    <t>KCNMB4</t>
  </si>
  <si>
    <t>SLC11A2</t>
  </si>
  <si>
    <t>PFKM</t>
  </si>
  <si>
    <t>NUP107</t>
  </si>
  <si>
    <t>C12orf10</t>
  </si>
  <si>
    <t>FOXM1</t>
  </si>
  <si>
    <t>SLC2A14</t>
  </si>
  <si>
    <t>FGD4</t>
  </si>
  <si>
    <t>LRRK2</t>
  </si>
  <si>
    <t>SLC35E3</t>
  </si>
  <si>
    <t>FRS2</t>
  </si>
  <si>
    <t>KIF5A</t>
  </si>
  <si>
    <t>NELL2</t>
  </si>
  <si>
    <t>KRT86</t>
  </si>
  <si>
    <t>PPFIA2</t>
  </si>
  <si>
    <t>DPY19L2</t>
  </si>
  <si>
    <t>NOC4L</t>
  </si>
  <si>
    <t>SDS</t>
  </si>
  <si>
    <t>PDZRN4</t>
  </si>
  <si>
    <t>KIAA1033</t>
  </si>
  <si>
    <t>LGR5</t>
  </si>
  <si>
    <t>PCBP2</t>
  </si>
  <si>
    <t>UHRF1BP1L</t>
  </si>
  <si>
    <t>COQ10A</t>
  </si>
  <si>
    <t>USP5</t>
  </si>
  <si>
    <t>YEATS4</t>
  </si>
  <si>
    <t>EP400</t>
  </si>
  <si>
    <t>TMEM120B</t>
  </si>
  <si>
    <t>AVIL</t>
  </si>
  <si>
    <t>SLC2A13</t>
  </si>
  <si>
    <t>ANAPC7</t>
  </si>
  <si>
    <t>TM7SF3</t>
  </si>
  <si>
    <t>C12orf42</t>
  </si>
  <si>
    <t>GNB3</t>
  </si>
  <si>
    <t>METAP2</t>
  </si>
  <si>
    <t>DCUN1D4</t>
  </si>
  <si>
    <t>MYL6B</t>
  </si>
  <si>
    <t>VWA3A</t>
  </si>
  <si>
    <t>XPO5</t>
  </si>
  <si>
    <t>CD2AP</t>
  </si>
  <si>
    <t>SORBS2</t>
  </si>
  <si>
    <t>TMEM67</t>
  </si>
  <si>
    <t>PSPC1</t>
  </si>
  <si>
    <t>CRYL1</t>
  </si>
  <si>
    <t>MED4</t>
  </si>
  <si>
    <t>HTR2A</t>
  </si>
  <si>
    <t>AKAP11</t>
  </si>
  <si>
    <t>MRPS31</t>
  </si>
  <si>
    <t>TDRD3</t>
  </si>
  <si>
    <t>ESD</t>
  </si>
  <si>
    <t>TPT1</t>
  </si>
  <si>
    <t>AKAP6</t>
  </si>
  <si>
    <t>EGLN3</t>
  </si>
  <si>
    <t>ATG14</t>
  </si>
  <si>
    <t>FUT8</t>
  </si>
  <si>
    <t>SLC39A9</t>
  </si>
  <si>
    <t>BCL2L13</t>
  </si>
  <si>
    <t>NAA30</t>
  </si>
  <si>
    <t>TERT</t>
  </si>
  <si>
    <t>KIAA1199</t>
  </si>
  <si>
    <t>ZYX</t>
  </si>
  <si>
    <t>RAB40C</t>
  </si>
  <si>
    <t>C16orf11</t>
  </si>
  <si>
    <t>SF3B3</t>
  </si>
  <si>
    <t>DDX19B</t>
  </si>
  <si>
    <t>NAA60</t>
  </si>
  <si>
    <t>IL32</t>
  </si>
  <si>
    <t>TNRC6A</t>
  </si>
  <si>
    <t>PRKCB</t>
  </si>
  <si>
    <t>CLEC16A</t>
  </si>
  <si>
    <t>TXNDC11</t>
  </si>
  <si>
    <t>ZC3H18</t>
  </si>
  <si>
    <t>CHMP1A</t>
  </si>
  <si>
    <t>NUDT16L1</t>
  </si>
  <si>
    <t>FAHD1</t>
  </si>
  <si>
    <t>VASN</t>
  </si>
  <si>
    <t>RBFOX1</t>
  </si>
  <si>
    <t>WWOX</t>
  </si>
  <si>
    <t>C15orf41</t>
  </si>
  <si>
    <t>WDR59</t>
  </si>
  <si>
    <t>ASB9</t>
  </si>
  <si>
    <t>THRA</t>
  </si>
  <si>
    <t>GSDMA</t>
  </si>
  <si>
    <t>WSB1</t>
  </si>
  <si>
    <t>MED1</t>
  </si>
  <si>
    <t>MRC2</t>
  </si>
  <si>
    <t>RND2</t>
  </si>
  <si>
    <t>EIF4A1</t>
  </si>
  <si>
    <t>PHOSPHO1</t>
  </si>
  <si>
    <t>ATP6V0A1</t>
  </si>
  <si>
    <t>MB</t>
  </si>
  <si>
    <t>SRP68</t>
  </si>
  <si>
    <t>URM1</t>
  </si>
  <si>
    <t>AP1M2</t>
  </si>
  <si>
    <t>RTTN</t>
  </si>
  <si>
    <t>MAPK4</t>
  </si>
  <si>
    <t>CRTC1</t>
  </si>
  <si>
    <t>KLHL26</t>
  </si>
  <si>
    <t>SLC39A3</t>
  </si>
  <si>
    <t>SGTA</t>
  </si>
  <si>
    <t>RAVER1</t>
  </si>
  <si>
    <t>DOCK6</t>
  </si>
  <si>
    <t>FKBP8</t>
  </si>
  <si>
    <t>SLC1A6</t>
  </si>
  <si>
    <t>SCAF1</t>
  </si>
  <si>
    <t>TRAPPC6A</t>
  </si>
  <si>
    <t>ZNF544</t>
  </si>
  <si>
    <t>AP2A1</t>
  </si>
  <si>
    <t>RPL36</t>
  </si>
  <si>
    <t>TTYH1</t>
  </si>
  <si>
    <t>ZNF610</t>
  </si>
  <si>
    <t>RALA</t>
  </si>
  <si>
    <t>ZC3H4</t>
  </si>
  <si>
    <t>TTLL3</t>
  </si>
  <si>
    <t>SLC4A1AP</t>
  </si>
  <si>
    <t>GPN1</t>
  </si>
  <si>
    <t>ATG4B</t>
  </si>
  <si>
    <t>DTYMK</t>
  </si>
  <si>
    <t>ADAM17</t>
  </si>
  <si>
    <t>YWHAQ</t>
  </si>
  <si>
    <t>GIGYF2</t>
  </si>
  <si>
    <t>NGEF</t>
  </si>
  <si>
    <t>PUM2</t>
  </si>
  <si>
    <t>C2orf43</t>
  </si>
  <si>
    <t>MFSD6</t>
  </si>
  <si>
    <t>CALCRL</t>
  </si>
  <si>
    <t>SLC23A3</t>
  </si>
  <si>
    <t>NBAS</t>
  </si>
  <si>
    <t>C2orf82</t>
  </si>
  <si>
    <t>UBXN2A</t>
  </si>
  <si>
    <t>GBAS</t>
  </si>
  <si>
    <t>EML4</t>
  </si>
  <si>
    <t>CASK</t>
  </si>
  <si>
    <t>SPRED2</t>
  </si>
  <si>
    <t>G2E3</t>
  </si>
  <si>
    <t>TM9SF4</t>
  </si>
  <si>
    <t>HM13</t>
  </si>
  <si>
    <t>SDC4</t>
  </si>
  <si>
    <t>SPCS1</t>
  </si>
  <si>
    <t>ZMAT5</t>
  </si>
  <si>
    <t>ASCC2</t>
  </si>
  <si>
    <t>MED15</t>
  </si>
  <si>
    <t>COMT</t>
  </si>
  <si>
    <t>RBFOX2</t>
  </si>
  <si>
    <t>LGALS2</t>
  </si>
  <si>
    <t>MICAL3</t>
  </si>
  <si>
    <t>XBP1</t>
  </si>
  <si>
    <t>SPECC1L</t>
  </si>
  <si>
    <t>PPP6R2</t>
  </si>
  <si>
    <t>UBE2R2</t>
  </si>
  <si>
    <t>TFG</t>
  </si>
  <si>
    <t>GPR128</t>
  </si>
  <si>
    <t>ITGB5</t>
  </si>
  <si>
    <t>SNX4</t>
  </si>
  <si>
    <t>ARIH2</t>
  </si>
  <si>
    <t>CAMP</t>
  </si>
  <si>
    <t>DYNC1LI1</t>
  </si>
  <si>
    <t>GADL1</t>
  </si>
  <si>
    <t>SLC6A11</t>
  </si>
  <si>
    <t>CAV3</t>
  </si>
  <si>
    <t>UBXN7</t>
  </si>
  <si>
    <t>RPL39L</t>
  </si>
  <si>
    <t>CD37</t>
  </si>
  <si>
    <t>SLC25A26</t>
  </si>
  <si>
    <t>IMMT</t>
  </si>
  <si>
    <t>FGFR3</t>
  </si>
  <si>
    <t>TACC3</t>
  </si>
  <si>
    <t>KIAA1211</t>
  </si>
  <si>
    <t>NMU</t>
  </si>
  <si>
    <t>SCFD2</t>
  </si>
  <si>
    <t>GSX2</t>
  </si>
  <si>
    <t>HOPX</t>
  </si>
  <si>
    <t>PDCL2</t>
  </si>
  <si>
    <t>TBC1D14</t>
  </si>
  <si>
    <t>HTRA3</t>
  </si>
  <si>
    <t>AASDH</t>
  </si>
  <si>
    <t>LRRC66</t>
  </si>
  <si>
    <t>ANK2</t>
  </si>
  <si>
    <t>ARHGAP10</t>
  </si>
  <si>
    <t>PIGG</t>
  </si>
  <si>
    <t>SPINK2</t>
  </si>
  <si>
    <t>NAA15</t>
  </si>
  <si>
    <t>LPAR1</t>
  </si>
  <si>
    <t>SPP1</t>
  </si>
  <si>
    <t>PPT1</t>
  </si>
  <si>
    <t>NAT8L</t>
  </si>
  <si>
    <t>DBNDD1</t>
  </si>
  <si>
    <t>DCTD</t>
  </si>
  <si>
    <t>ECE2</t>
  </si>
  <si>
    <t>TXNDC15</t>
  </si>
  <si>
    <t>ARPC2</t>
  </si>
  <si>
    <t>PHF3</t>
  </si>
  <si>
    <t>EYS</t>
  </si>
  <si>
    <t>GPLD1</t>
  </si>
  <si>
    <t>TDP2</t>
  </si>
  <si>
    <t>ATG5</t>
  </si>
  <si>
    <t>PDSS2</t>
  </si>
  <si>
    <t>RREB1</t>
  </si>
  <si>
    <t>EEF1E1</t>
  </si>
  <si>
    <t>SOBP</t>
  </si>
  <si>
    <t>AIM1</t>
  </si>
  <si>
    <t>ARID1B</t>
  </si>
  <si>
    <t>TIAM2</t>
  </si>
  <si>
    <t>MDGA1</t>
  </si>
  <si>
    <t>PTK7</t>
  </si>
  <si>
    <t>SYNGAP1</t>
  </si>
  <si>
    <t>HSP90AB1</t>
  </si>
  <si>
    <t>C6orf204</t>
  </si>
  <si>
    <t>SYTL3</t>
  </si>
  <si>
    <t>SLC22A23</t>
  </si>
  <si>
    <t>TNFRSF21</t>
  </si>
  <si>
    <t>UHRF1BP1</t>
  </si>
  <si>
    <t>EPYC</t>
  </si>
  <si>
    <t>BRPF3</t>
  </si>
  <si>
    <t>STARD9</t>
  </si>
  <si>
    <t>BATF2</t>
  </si>
  <si>
    <t>SSR1</t>
  </si>
  <si>
    <t>DMD</t>
  </si>
  <si>
    <t>HECW1</t>
  </si>
  <si>
    <t>C7orf44</t>
  </si>
  <si>
    <t>ST7</t>
  </si>
  <si>
    <t>CAV1</t>
  </si>
  <si>
    <t>SEC61G</t>
  </si>
  <si>
    <t>LANCL2</t>
  </si>
  <si>
    <t>ZNF713</t>
  </si>
  <si>
    <t>PION</t>
  </si>
  <si>
    <t>STYXL1</t>
  </si>
  <si>
    <t>KRIT1</t>
  </si>
  <si>
    <t>GNGT1</t>
  </si>
  <si>
    <t>SP4</t>
  </si>
  <si>
    <t>GPNMB</t>
  </si>
  <si>
    <t>AKAP9</t>
  </si>
  <si>
    <t>PON2</t>
  </si>
  <si>
    <t>COBL</t>
  </si>
  <si>
    <t>HIBADH</t>
  </si>
  <si>
    <t>C7orf10</t>
  </si>
  <si>
    <t>IMMP2L</t>
  </si>
  <si>
    <t>DYNC1I1</t>
  </si>
  <si>
    <t>WBSCR17</t>
  </si>
  <si>
    <t>PPP1R9A</t>
  </si>
  <si>
    <t>CASD1</t>
  </si>
  <si>
    <t>VWC2</t>
  </si>
  <si>
    <t>SRRT</t>
  </si>
  <si>
    <t>C7orf16</t>
  </si>
  <si>
    <t>CHN2</t>
  </si>
  <si>
    <t>TSPAN33</t>
  </si>
  <si>
    <t>FBXL18</t>
  </si>
  <si>
    <t>C19orf56</t>
  </si>
  <si>
    <t>RAB20</t>
  </si>
  <si>
    <t>JAZF1</t>
  </si>
  <si>
    <t>CPT1C</t>
  </si>
  <si>
    <t>FAM102A</t>
  </si>
  <si>
    <t>PTGES2</t>
  </si>
  <si>
    <t>NFX1</t>
  </si>
  <si>
    <t>C9orf24</t>
  </si>
  <si>
    <t>NUDT2</t>
  </si>
  <si>
    <t>GLIPR2</t>
  </si>
  <si>
    <t>MLLT3</t>
  </si>
  <si>
    <t>IZUMO3</t>
  </si>
  <si>
    <t>KIAA1797</t>
  </si>
  <si>
    <t>MOBKL2B</t>
  </si>
  <si>
    <t>RMI1</t>
  </si>
  <si>
    <t>STX17</t>
  </si>
  <si>
    <t>ASTN2</t>
  </si>
  <si>
    <t>ARHGDIG</t>
  </si>
  <si>
    <t>CDKN2B</t>
  </si>
  <si>
    <t>DGKD</t>
  </si>
  <si>
    <t>MARCH9</t>
  </si>
  <si>
    <t>SEPT14</t>
  </si>
  <si>
    <t>Yes</t>
  </si>
  <si>
    <t>No</t>
  </si>
  <si>
    <t>PTEN</t>
  </si>
  <si>
    <t>MARS</t>
  </si>
  <si>
    <t>VSTM2A</t>
  </si>
  <si>
    <t>FAM119B</t>
  </si>
  <si>
    <t>IL26</t>
  </si>
  <si>
    <t>TMEM91</t>
  </si>
  <si>
    <t>CYP51A1</t>
  </si>
  <si>
    <t>RAB3IP</t>
  </si>
  <si>
    <t>KCNH2</t>
  </si>
  <si>
    <t>PPM1H</t>
  </si>
  <si>
    <t>PLEKHA6</t>
  </si>
  <si>
    <t>ATP1A2</t>
  </si>
  <si>
    <t>LRIG3</t>
  </si>
  <si>
    <t>FREM1</t>
  </si>
  <si>
    <t>ARHGAP9</t>
  </si>
  <si>
    <t>FAM19A2</t>
  </si>
  <si>
    <t>INHBC</t>
  </si>
  <si>
    <t>SSH2</t>
  </si>
  <si>
    <t>C12orf5</t>
  </si>
  <si>
    <t>BreakDancer</t>
  </si>
  <si>
    <t>TCGA ID</t>
  </si>
  <si>
    <t>Gene A</t>
  </si>
  <si>
    <t>Gene B</t>
  </si>
  <si>
    <t>Count</t>
  </si>
  <si>
    <t>ACO1-ACO1</t>
  </si>
  <si>
    <t>p21.1</t>
  </si>
  <si>
    <t>EGFR-EGFR</t>
  </si>
  <si>
    <t>ADAMTSL3-ADAMTS17</t>
  </si>
  <si>
    <t>ADAMTSL3</t>
  </si>
  <si>
    <t>ADAMTS17</t>
  </si>
  <si>
    <t>q25.2</t>
  </si>
  <si>
    <t>q26.3</t>
  </si>
  <si>
    <t>AHCYL2-MKLN1</t>
  </si>
  <si>
    <t>AHCYL2</t>
  </si>
  <si>
    <t>MKLN1</t>
  </si>
  <si>
    <t>q32.1</t>
  </si>
  <si>
    <t>q32.3</t>
  </si>
  <si>
    <t>CPM-CPM</t>
  </si>
  <si>
    <t>AKT3-AKT3</t>
  </si>
  <si>
    <t>q44</t>
  </si>
  <si>
    <t>PRIM2-PRIM2</t>
  </si>
  <si>
    <t>ALKBH3-ALKBH3</t>
  </si>
  <si>
    <t>ALKBH3</t>
  </si>
  <si>
    <t>p11.2</t>
  </si>
  <si>
    <t>FAM65B-FAM65B</t>
  </si>
  <si>
    <t>AOF2-C1orf201</t>
  </si>
  <si>
    <t>AOF2</t>
  </si>
  <si>
    <t>p36.11</t>
  </si>
  <si>
    <t>EGFR-BRIP1</t>
  </si>
  <si>
    <t>VOPP1</t>
  </si>
  <si>
    <t>APBB2-APBB2</t>
  </si>
  <si>
    <t>APBB2</t>
  </si>
  <si>
    <t>p13</t>
  </si>
  <si>
    <t>LANCL2-PLEKHA7</t>
  </si>
  <si>
    <t>ARHGAP9-RUNX2</t>
  </si>
  <si>
    <t>RUNX2</t>
  </si>
  <si>
    <t>q13.3</t>
  </si>
  <si>
    <t>EGFR-VOPP1</t>
  </si>
  <si>
    <t>ARHGEF12-ARHGEF12</t>
  </si>
  <si>
    <t>ARHGEF12</t>
  </si>
  <si>
    <t>q23.3</t>
  </si>
  <si>
    <t>PPM1H-PPM1H</t>
  </si>
  <si>
    <t>ATAD1-PTEN</t>
  </si>
  <si>
    <t>q23.31</t>
  </si>
  <si>
    <t>RBM25-RBM25</t>
  </si>
  <si>
    <t>ATP1A2-DCAF8</t>
  </si>
  <si>
    <t>DCAF8</t>
  </si>
  <si>
    <t>q23.2</t>
  </si>
  <si>
    <t>HOMER2-HOMER2</t>
  </si>
  <si>
    <t>AVIL-PPM1H</t>
  </si>
  <si>
    <t>q14.1</t>
  </si>
  <si>
    <t>q14.2</t>
  </si>
  <si>
    <t>ZNF714-ZNF431</t>
  </si>
  <si>
    <t>B4GALNT1-FAM19A2</t>
  </si>
  <si>
    <t>HFM1-SLCO5A1</t>
  </si>
  <si>
    <t>B4GALNT1-TSFM</t>
  </si>
  <si>
    <t>DAB1-RYR3</t>
  </si>
  <si>
    <t>BAZ2A-FSIP1</t>
  </si>
  <si>
    <t>BAZ2A</t>
  </si>
  <si>
    <t>FSIP1</t>
  </si>
  <si>
    <t>q14</t>
  </si>
  <si>
    <t>C1orf185-NRD1</t>
  </si>
  <si>
    <t>PRIM2</t>
  </si>
  <si>
    <t>BEST3-TMTC2</t>
  </si>
  <si>
    <t>BEST3</t>
  </si>
  <si>
    <t>TMTC2</t>
  </si>
  <si>
    <t>q15</t>
  </si>
  <si>
    <t>q21.31</t>
  </si>
  <si>
    <t>EPS15-EPS15</t>
  </si>
  <si>
    <t>FAM65B</t>
  </si>
  <si>
    <t>BMPER-ZNF416</t>
  </si>
  <si>
    <t>BMPER</t>
  </si>
  <si>
    <t>ZNF416</t>
  </si>
  <si>
    <t>p14.3</t>
  </si>
  <si>
    <t>q13.43</t>
  </si>
  <si>
    <t>FAF1-OSBPL9</t>
  </si>
  <si>
    <t>RBM25</t>
  </si>
  <si>
    <t>C12orf5-KIF21A</t>
  </si>
  <si>
    <t>KIF21A</t>
  </si>
  <si>
    <t>p13.32</t>
  </si>
  <si>
    <t>q12</t>
  </si>
  <si>
    <t>OSBPL9-ZNF326</t>
  </si>
  <si>
    <t>HOMER2</t>
  </si>
  <si>
    <t>C12orf56-LEMD3</t>
  </si>
  <si>
    <t>q14.3</t>
  </si>
  <si>
    <t>LIN28A-SRGAP1</t>
  </si>
  <si>
    <t>PDE1C</t>
  </si>
  <si>
    <t>p32.3</t>
  </si>
  <si>
    <t>CDA-CDA</t>
  </si>
  <si>
    <t>C2orf55-SERINC5</t>
  </si>
  <si>
    <t>C2orf55</t>
  </si>
  <si>
    <t>q11.2</t>
  </si>
  <si>
    <t>EIF4G3-MAN1C1</t>
  </si>
  <si>
    <t>C6orf223-TMEM63B</t>
  </si>
  <si>
    <t>C6orf223</t>
  </si>
  <si>
    <t>TMEM63B</t>
  </si>
  <si>
    <t>EIF4G3-ZNF683</t>
  </si>
  <si>
    <t>SLC26A10</t>
  </si>
  <si>
    <t>C7orf57-COBL</t>
  </si>
  <si>
    <t>C7orf57</t>
  </si>
  <si>
    <t>p12.3</t>
  </si>
  <si>
    <t>p12.1</t>
  </si>
  <si>
    <t>CAPZB-PAFAH2</t>
  </si>
  <si>
    <t>C8orf37-CRTC1</t>
  </si>
  <si>
    <t>C8orf37</t>
  </si>
  <si>
    <t>q22.1</t>
  </si>
  <si>
    <t>p13.11</t>
  </si>
  <si>
    <t>UBR4-ARID1A</t>
  </si>
  <si>
    <t>STAT6</t>
  </si>
  <si>
    <t>CACNA2D3-CAPN11</t>
  </si>
  <si>
    <t>CACNA2D3</t>
  </si>
  <si>
    <t>CAPN11</t>
  </si>
  <si>
    <t>UBR4-TRDN</t>
  </si>
  <si>
    <t>CALD1-CALD1</t>
  </si>
  <si>
    <t>CALD1</t>
  </si>
  <si>
    <t>q33</t>
  </si>
  <si>
    <t>UBR4-UBR4</t>
  </si>
  <si>
    <t>CAND1-C6orf138</t>
  </si>
  <si>
    <t>CAND1</t>
  </si>
  <si>
    <t>C6orf138</t>
  </si>
  <si>
    <t>CLSTN1-STOX1</t>
  </si>
  <si>
    <t>CAPN11-CPM</t>
  </si>
  <si>
    <t>SLC2A5-BTBD7</t>
  </si>
  <si>
    <t>CAPN11-PPM1H</t>
  </si>
  <si>
    <t>NTRK1-NFASC</t>
  </si>
  <si>
    <t>ZNF714</t>
  </si>
  <si>
    <t>p36.13</t>
  </si>
  <si>
    <t>BRIP1</t>
  </si>
  <si>
    <t>CASP7-SRGAP1</t>
  </si>
  <si>
    <t>CASP7</t>
  </si>
  <si>
    <t>q25.3</t>
  </si>
  <si>
    <t>GOLT1A-PLEKHA6</t>
  </si>
  <si>
    <t>PLEKHA7</t>
  </si>
  <si>
    <t>CCDC50-CCDC50</t>
  </si>
  <si>
    <t>CCDC50</t>
  </si>
  <si>
    <t>q28</t>
  </si>
  <si>
    <t>HSD11B1-KCNH1</t>
  </si>
  <si>
    <t>CCDC82-FAM19A2</t>
  </si>
  <si>
    <t>CCDC82</t>
  </si>
  <si>
    <t>q21</t>
  </si>
  <si>
    <t>KCNH1-AIDA</t>
  </si>
  <si>
    <t>CD2AP-CD2AP</t>
  </si>
  <si>
    <t>FLVCR1-LYST</t>
  </si>
  <si>
    <t>ZNF431</t>
  </si>
  <si>
    <t>p36.12</t>
  </si>
  <si>
    <t>LPGAT1-RPS6KC1</t>
  </si>
  <si>
    <t>CDKAL1-EGFR</t>
  </si>
  <si>
    <t>CDKAL1</t>
  </si>
  <si>
    <t>p22.3</t>
  </si>
  <si>
    <t>RPS6KC1-KMO</t>
  </si>
  <si>
    <t>CEACAM8-RELB</t>
  </si>
  <si>
    <t>CEACAM8</t>
  </si>
  <si>
    <t>RELB</t>
  </si>
  <si>
    <t>q13.2</t>
  </si>
  <si>
    <t>q13.32</t>
  </si>
  <si>
    <t>ESRRG-SMYD3</t>
  </si>
  <si>
    <t>CENPK-LGR5</t>
  </si>
  <si>
    <t>CENPK</t>
  </si>
  <si>
    <t>q12.3</t>
  </si>
  <si>
    <t>q21.1</t>
  </si>
  <si>
    <t>USH2A-RYR2</t>
  </si>
  <si>
    <t>CHPT1-MED13L</t>
  </si>
  <si>
    <t>CHPT1</t>
  </si>
  <si>
    <t>MED13L</t>
  </si>
  <si>
    <t>q24.21</t>
  </si>
  <si>
    <t>MTR-RYR2</t>
  </si>
  <si>
    <t>CLSTN1</t>
  </si>
  <si>
    <t>STOX1</t>
  </si>
  <si>
    <t>p36.22</t>
  </si>
  <si>
    <t>q21.3</t>
  </si>
  <si>
    <t>ELMO1</t>
  </si>
  <si>
    <t>COPG1-RASA2</t>
  </si>
  <si>
    <t>COPG1</t>
  </si>
  <si>
    <t>RASA2</t>
  </si>
  <si>
    <t>q23</t>
  </si>
  <si>
    <t>EHBP1-NRF1</t>
  </si>
  <si>
    <t>GLI3</t>
  </si>
  <si>
    <t>NOL10-MARCH9</t>
  </si>
  <si>
    <t>TMEM117</t>
  </si>
  <si>
    <t>SCN2A-DCUN1D4</t>
  </si>
  <si>
    <t>CREB5-KCNH2</t>
  </si>
  <si>
    <t>CREB5</t>
  </si>
  <si>
    <t>p15.1</t>
  </si>
  <si>
    <t>q36.1</t>
  </si>
  <si>
    <t>SIRT2</t>
  </si>
  <si>
    <t>CTDSP2-MON2</t>
  </si>
  <si>
    <t>RBM6-SRGAP1</t>
  </si>
  <si>
    <t>CWC27-CREB5</t>
  </si>
  <si>
    <t>CWC27</t>
  </si>
  <si>
    <t>STAC-KLHDC10</t>
  </si>
  <si>
    <t>CXCL17-PSG3</t>
  </si>
  <si>
    <t>CXCL17</t>
  </si>
  <si>
    <t>PSG3</t>
  </si>
  <si>
    <t>DAB1</t>
  </si>
  <si>
    <t>RYR3</t>
  </si>
  <si>
    <t>p32.1</t>
  </si>
  <si>
    <t>FYTTD1-ABCA2</t>
  </si>
  <si>
    <t>DCUN1D4-RAB3IP</t>
  </si>
  <si>
    <t>DLG2-UNC45B</t>
  </si>
  <si>
    <t>DLG2</t>
  </si>
  <si>
    <t>UNC45B</t>
  </si>
  <si>
    <t>POLN-C9orf25</t>
  </si>
  <si>
    <t>E2F7-NAV3</t>
  </si>
  <si>
    <t>E2F7</t>
  </si>
  <si>
    <t>NAV3</t>
  </si>
  <si>
    <t>q21.2</t>
  </si>
  <si>
    <t>SH3BP2-KDR</t>
  </si>
  <si>
    <t>SCFD2-CLOCK</t>
  </si>
  <si>
    <t>SPATA5</t>
  </si>
  <si>
    <t>SPATA5-SPATA5</t>
  </si>
  <si>
    <t>GALNTL6</t>
  </si>
  <si>
    <t>PDGFC-EGFR</t>
  </si>
  <si>
    <t>NEK1-RUNX2</t>
  </si>
  <si>
    <t>GALNTL6-GALNTL6</t>
  </si>
  <si>
    <t>MB21D1</t>
  </si>
  <si>
    <t>STK17A</t>
  </si>
  <si>
    <t>POU6F2</t>
  </si>
  <si>
    <t>ODZ2-SRGAP1</t>
  </si>
  <si>
    <t>FAM188B</t>
  </si>
  <si>
    <t>SEMA3A</t>
  </si>
  <si>
    <t>SMO</t>
  </si>
  <si>
    <t>HSP90AB1-PTCHD4</t>
  </si>
  <si>
    <t>EGFR-FANCC</t>
  </si>
  <si>
    <t>FANCC</t>
  </si>
  <si>
    <t>q22.32</t>
  </si>
  <si>
    <t>HSP90AB1-C6orf138</t>
  </si>
  <si>
    <t>SARDH</t>
  </si>
  <si>
    <t>EGFR-FKBP9L</t>
  </si>
  <si>
    <t>FKBP9L</t>
  </si>
  <si>
    <t>POLH-GTPBP2</t>
  </si>
  <si>
    <t>EGFR-LANCL2</t>
  </si>
  <si>
    <t>RUNX2-ARHGAP9</t>
  </si>
  <si>
    <t>RUNX2-RUNX2</t>
  </si>
  <si>
    <t>PDGFD</t>
  </si>
  <si>
    <t>XPO5-MYO1A</t>
  </si>
  <si>
    <t>EHBP1</t>
  </si>
  <si>
    <t>NRF1</t>
  </si>
  <si>
    <t>p15</t>
  </si>
  <si>
    <t>q32.2</t>
  </si>
  <si>
    <t>MB21D1-MB21D1</t>
  </si>
  <si>
    <t>ZNF683</t>
  </si>
  <si>
    <t>VSTM2A-EGFR</t>
  </si>
  <si>
    <t>TMBIM4</t>
  </si>
  <si>
    <t>ELMO1-COBL</t>
  </si>
  <si>
    <t>p14.1</t>
  </si>
  <si>
    <t>GBAS-CYP51A1</t>
  </si>
  <si>
    <t>MDM1</t>
  </si>
  <si>
    <t>ELMO1-ELMO1</t>
  </si>
  <si>
    <t>TMTC3</t>
  </si>
  <si>
    <t>ENOX1-TYRO3</t>
  </si>
  <si>
    <t>ENOX1</t>
  </si>
  <si>
    <t>TYRO3</t>
  </si>
  <si>
    <t>q14.11</t>
  </si>
  <si>
    <t>q15.1</t>
  </si>
  <si>
    <t>UGGT2</t>
  </si>
  <si>
    <t>L2HGDH</t>
  </si>
  <si>
    <t>ERP44-MRPL50</t>
  </si>
  <si>
    <t>ERP44</t>
  </si>
  <si>
    <t>MRPL50</t>
  </si>
  <si>
    <t>q31.1</t>
  </si>
  <si>
    <t>LANCL2-VOPP1</t>
  </si>
  <si>
    <t>SLC27A2</t>
  </si>
  <si>
    <t>ESRRG</t>
  </si>
  <si>
    <t>SMYD3</t>
  </si>
  <si>
    <t>q41</t>
  </si>
  <si>
    <t>VOPP1-MDM2</t>
  </si>
  <si>
    <t>UACA</t>
  </si>
  <si>
    <t>VOPP1-VOPP1</t>
  </si>
  <si>
    <t>GCSH</t>
  </si>
  <si>
    <t>FAM119B-SRGAP1</t>
  </si>
  <si>
    <t>SEPT14-FAM71F1</t>
  </si>
  <si>
    <t>FAM188B-STEAP4</t>
  </si>
  <si>
    <t>STEAP4</t>
  </si>
  <si>
    <t>q21.12</t>
  </si>
  <si>
    <t>FIGNL1-VOPP1</t>
  </si>
  <si>
    <t>FAM188B-VWC2</t>
  </si>
  <si>
    <t>p12.2</t>
  </si>
  <si>
    <t>MID1</t>
  </si>
  <si>
    <t>FAM19A2-SRGAP1</t>
  </si>
  <si>
    <t>STK17A-STK17A</t>
  </si>
  <si>
    <t>HFM1</t>
  </si>
  <si>
    <t>FIGNL1</t>
  </si>
  <si>
    <t>GLI3-COBL</t>
  </si>
  <si>
    <t>FLVCR1</t>
  </si>
  <si>
    <t>q42.3</t>
  </si>
  <si>
    <t>GLI3-GLI3</t>
  </si>
  <si>
    <t>FREM1-C9orf93</t>
  </si>
  <si>
    <t>C9orf93</t>
  </si>
  <si>
    <t>POU6F2-ERCC2</t>
  </si>
  <si>
    <t>LIN28A</t>
  </si>
  <si>
    <t>FYTTD1</t>
  </si>
  <si>
    <t>ABCA2</t>
  </si>
  <si>
    <t>q29</t>
  </si>
  <si>
    <t>q34.3</t>
  </si>
  <si>
    <t>PDE1C-EGFR</t>
  </si>
  <si>
    <t>GALNTL4-GALNTL4</t>
  </si>
  <si>
    <t>p15.3</t>
  </si>
  <si>
    <t>q34.1</t>
  </si>
  <si>
    <t>SLC2A5</t>
  </si>
  <si>
    <t>SCRN1-MKLN1</t>
  </si>
  <si>
    <t>NTRK1</t>
  </si>
  <si>
    <t>GCSH-GCSH</t>
  </si>
  <si>
    <t>GLI1-ARHGAP9</t>
  </si>
  <si>
    <t>NPSR1-POU6F2</t>
  </si>
  <si>
    <t>GOLT1A</t>
  </si>
  <si>
    <t>GLI1-MARS</t>
  </si>
  <si>
    <t>PDE1C-KIAA0895</t>
  </si>
  <si>
    <t>PDE1C-ZIM2</t>
  </si>
  <si>
    <t>LPGAT1</t>
  </si>
  <si>
    <t>JAZF1-AGAP3</t>
  </si>
  <si>
    <t>GPRC5C-RECQL5</t>
  </si>
  <si>
    <t>GPRC5C</t>
  </si>
  <si>
    <t>RECQL5</t>
  </si>
  <si>
    <t>q25.1</t>
  </si>
  <si>
    <t>SDK1-EGFR</t>
  </si>
  <si>
    <t>USH2A</t>
  </si>
  <si>
    <t>SLCO5A1</t>
  </si>
  <si>
    <t>p22.2</t>
  </si>
  <si>
    <t>SEMA3A-SEMA3A</t>
  </si>
  <si>
    <t>MTR</t>
  </si>
  <si>
    <t>HIPK2-STAT6</t>
  </si>
  <si>
    <t>HIPK2</t>
  </si>
  <si>
    <t>q34</t>
  </si>
  <si>
    <t>PPP1R9A-PPP1R9A</t>
  </si>
  <si>
    <t>HMGA2-PTPRR</t>
  </si>
  <si>
    <t>SMO-SMO</t>
  </si>
  <si>
    <t>NOL10</t>
  </si>
  <si>
    <t>SCN2A</t>
  </si>
  <si>
    <t>PTCHD4</t>
  </si>
  <si>
    <t>STAC</t>
  </si>
  <si>
    <t>INHBC-METTL1</t>
  </si>
  <si>
    <t>INHBC-TSFM</t>
  </si>
  <si>
    <t>POLN</t>
  </si>
  <si>
    <t>AGAP3</t>
  </si>
  <si>
    <t>RMI1-STX17</t>
  </si>
  <si>
    <t>SH3BP2</t>
  </si>
  <si>
    <t>JMJD1C-MICU1</t>
  </si>
  <si>
    <t>MICU1</t>
  </si>
  <si>
    <t>ZNF462-FAM19A2</t>
  </si>
  <si>
    <t>KIF21A-ANO4</t>
  </si>
  <si>
    <t>ANO4</t>
  </si>
  <si>
    <t>q23.1</t>
  </si>
  <si>
    <t>STRBP-FAM19A2</t>
  </si>
  <si>
    <t>PDGFC</t>
  </si>
  <si>
    <t>ZNF664</t>
  </si>
  <si>
    <t>q24.31</t>
  </si>
  <si>
    <t>SARDH-SARDH</t>
  </si>
  <si>
    <t>NEK1</t>
  </si>
  <si>
    <t>KIF5A-OS9</t>
  </si>
  <si>
    <t>L2HGDH-L2HGDH</t>
  </si>
  <si>
    <t>STOX1-GRK5</t>
  </si>
  <si>
    <t>ODZ2</t>
  </si>
  <si>
    <t>POLH</t>
  </si>
  <si>
    <t>LEMD3-CPM</t>
  </si>
  <si>
    <t>LEMD3-HMGA2</t>
  </si>
  <si>
    <t>LIPE-EXOC3L2</t>
  </si>
  <si>
    <t>LIPE</t>
  </si>
  <si>
    <t>EXOC3L2</t>
  </si>
  <si>
    <t>PDGFD-PDGFD</t>
  </si>
  <si>
    <t>LRP1-TMBIM4</t>
  </si>
  <si>
    <t>MARCH9-MARCH9</t>
  </si>
  <si>
    <t>NELL2-NELL2</t>
  </si>
  <si>
    <t>MARS-AGAP2</t>
  </si>
  <si>
    <t>TMEM117-NELL2</t>
  </si>
  <si>
    <t>SCRN1</t>
  </si>
  <si>
    <t>MARS-CTDSP2</t>
  </si>
  <si>
    <t>TMEM117-TMEM117</t>
  </si>
  <si>
    <t>MARS-DDIT3</t>
  </si>
  <si>
    <t>NPSR1</t>
  </si>
  <si>
    <t>MARS-PPM1H</t>
  </si>
  <si>
    <t>q13</t>
  </si>
  <si>
    <t>PDZRN4-CPM</t>
  </si>
  <si>
    <t>MDM1-MDM1</t>
  </si>
  <si>
    <t>PDZRN4-MYBPC1</t>
  </si>
  <si>
    <t>SDK1</t>
  </si>
  <si>
    <t>MDM2-CPM</t>
  </si>
  <si>
    <t>PDZRN4-PDZRN4</t>
  </si>
  <si>
    <t>MDM2-EGFR</t>
  </si>
  <si>
    <t>PDZRN4-NUP107</t>
  </si>
  <si>
    <t>MDM2-MDM2</t>
  </si>
  <si>
    <t>PDZRN4-SLC35E3</t>
  </si>
  <si>
    <t>MDM2-VOPP1</t>
  </si>
  <si>
    <t>MID1-MID1</t>
  </si>
  <si>
    <t>X</t>
  </si>
  <si>
    <t>ZNF462</t>
  </si>
  <si>
    <t>SLC26A10-B4GALNT1</t>
  </si>
  <si>
    <t>STRBP</t>
  </si>
  <si>
    <t>RYR2</t>
  </si>
  <si>
    <t>q43</t>
  </si>
  <si>
    <t>PIP4K2C-LRIG3</t>
  </si>
  <si>
    <t>p25.1</t>
  </si>
  <si>
    <t>NUP107-BEST3</t>
  </si>
  <si>
    <t>STAT6-CPM</t>
  </si>
  <si>
    <t>NUP107-LGR5</t>
  </si>
  <si>
    <t>TSPAN31</t>
  </si>
  <si>
    <t>KIAA0895</t>
  </si>
  <si>
    <t>p14.2</t>
  </si>
  <si>
    <t>SLC26A10-TSFM</t>
  </si>
  <si>
    <t>ZIM2</t>
  </si>
  <si>
    <t>TSPAN31-CDK4</t>
  </si>
  <si>
    <t>q22.3</t>
  </si>
  <si>
    <t>TSFM-NUP107</t>
  </si>
  <si>
    <t>MYBPC1</t>
  </si>
  <si>
    <t>SLC16A7-MON2</t>
  </si>
  <si>
    <t>TSFM-LRIG3</t>
  </si>
  <si>
    <t>TSFM-AVIL</t>
  </si>
  <si>
    <t>GTPBP2</t>
  </si>
  <si>
    <t>ZNF761</t>
  </si>
  <si>
    <t>C9orf25</t>
  </si>
  <si>
    <t>p16.3</t>
  </si>
  <si>
    <t>p13.3</t>
  </si>
  <si>
    <t>PPM1H-LEMD3</t>
  </si>
  <si>
    <t>TOP1</t>
  </si>
  <si>
    <t>ERCC2</t>
  </si>
  <si>
    <t>PPM1H-IL26</t>
  </si>
  <si>
    <t>PPM1H-CAPN11</t>
  </si>
  <si>
    <t>PPM1H-DPY19L2</t>
  </si>
  <si>
    <t>PPM1H-GRIP1</t>
  </si>
  <si>
    <t>PPM1H-MDM2</t>
  </si>
  <si>
    <t>SRGAP1-PTPRR</t>
  </si>
  <si>
    <t>SRGAP1-RAB3IP</t>
  </si>
  <si>
    <t>SRGAP1-SRGAP1</t>
  </si>
  <si>
    <t>PTCHD4-CAND1</t>
  </si>
  <si>
    <t>TMBIM4-RAP1B</t>
  </si>
  <si>
    <t>q24.2</t>
  </si>
  <si>
    <t>p21.31</t>
  </si>
  <si>
    <t>BTBD7</t>
  </si>
  <si>
    <t>q21.32</t>
  </si>
  <si>
    <t>KMO</t>
  </si>
  <si>
    <t>q34.2</t>
  </si>
  <si>
    <t>CLOCK</t>
  </si>
  <si>
    <t>q24.3</t>
  </si>
  <si>
    <t>TMTC3-ANO4</t>
  </si>
  <si>
    <t>TMTC3-FBRSL1</t>
  </si>
  <si>
    <t>q21.11</t>
  </si>
  <si>
    <t>FAM71F1</t>
  </si>
  <si>
    <t>UGGT2-UGGT2</t>
  </si>
  <si>
    <t>KLHDC10</t>
  </si>
  <si>
    <t>KDR</t>
  </si>
  <si>
    <t>SIRT2-CEACAM8</t>
  </si>
  <si>
    <t>SLC27A2-SLC27A2</t>
  </si>
  <si>
    <t>SIRT2-OPA3</t>
  </si>
  <si>
    <t>OPA3</t>
  </si>
  <si>
    <t>UACA-UACA</t>
  </si>
  <si>
    <t>SIRT2-ZNF45</t>
  </si>
  <si>
    <t>ZNF45</t>
  </si>
  <si>
    <t>q13.31</t>
  </si>
  <si>
    <t>SSH2-SSH2</t>
  </si>
  <si>
    <t>MYO1A</t>
  </si>
  <si>
    <t>p36.23</t>
  </si>
  <si>
    <t>q32.12</t>
  </si>
  <si>
    <t>q28.1</t>
  </si>
  <si>
    <t>TMEM91-ZNF550</t>
  </si>
  <si>
    <t>ZNF761-ZNF813</t>
  </si>
  <si>
    <t>TOP1-PLCG1</t>
  </si>
  <si>
    <t>GRK5</t>
  </si>
  <si>
    <t>q26.11</t>
  </si>
  <si>
    <t>q33.3</t>
  </si>
  <si>
    <t>ZNF550</t>
  </si>
  <si>
    <t>FBRSL1</t>
  </si>
  <si>
    <t>q24.33</t>
  </si>
  <si>
    <t>PLCG1</t>
  </si>
  <si>
    <t>CDK4</t>
  </si>
  <si>
    <t>q22.31</t>
  </si>
  <si>
    <t>q31.2</t>
  </si>
  <si>
    <t>p12</t>
  </si>
  <si>
    <t>ZNF813</t>
  </si>
  <si>
    <t>q13.42</t>
  </si>
  <si>
    <t>KIF21A-ZNF664</t>
  </si>
  <si>
    <t>q11.23</t>
  </si>
  <si>
    <t>p13.31</t>
  </si>
  <si>
    <t>p35.1</t>
  </si>
  <si>
    <t>q13.13</t>
  </si>
  <si>
    <t>p36.21</t>
  </si>
  <si>
    <t>q35</t>
  </si>
  <si>
    <t>p13.2</t>
  </si>
  <si>
    <t>p22.1</t>
  </si>
  <si>
    <t>q12.1</t>
  </si>
  <si>
    <t>q21.33</t>
  </si>
  <si>
    <t>q27.1</t>
  </si>
  <si>
    <t>q11.1</t>
  </si>
  <si>
    <t>p21.3</t>
  </si>
  <si>
    <t>p21</t>
  </si>
  <si>
    <t>p23.3</t>
  </si>
  <si>
    <t>p11.21</t>
  </si>
  <si>
    <t>p21.2</t>
  </si>
  <si>
    <t>q13.33</t>
  </si>
  <si>
    <t>q12.2</t>
  </si>
  <si>
    <t>p16.1</t>
  </si>
  <si>
    <t>q24.11</t>
  </si>
  <si>
    <t>q24.12</t>
  </si>
  <si>
    <t>q25</t>
  </si>
  <si>
    <t>p31.1</t>
  </si>
  <si>
    <t>p13.1</t>
  </si>
  <si>
    <t>p36.33</t>
  </si>
  <si>
    <t>q13.12</t>
  </si>
  <si>
    <t>p36.31</t>
  </si>
  <si>
    <t>p25.3</t>
  </si>
  <si>
    <t>q13.1</t>
  </si>
  <si>
    <t>q35.1</t>
  </si>
  <si>
    <t>q11.22</t>
  </si>
  <si>
    <t>q31.3</t>
  </si>
  <si>
    <t>q24.1</t>
  </si>
  <si>
    <t>q24.32</t>
  </si>
  <si>
    <t>p14</t>
  </si>
  <si>
    <t>q24.13</t>
  </si>
  <si>
    <t>q26.2</t>
  </si>
  <si>
    <t>q22</t>
  </si>
  <si>
    <t>q27.3</t>
  </si>
  <si>
    <t>p13.33</t>
  </si>
  <si>
    <t>q22.2</t>
  </si>
  <si>
    <t>p34.3</t>
  </si>
  <si>
    <t>p11.23</t>
  </si>
  <si>
    <t>p33</t>
  </si>
  <si>
    <t>p21.32</t>
  </si>
  <si>
    <t>q37.3</t>
  </si>
  <si>
    <t>p15.33</t>
  </si>
  <si>
    <t>q11.21</t>
  </si>
  <si>
    <t>q34.11</t>
  </si>
  <si>
    <t>p24.1</t>
  </si>
  <si>
    <t>p13.12</t>
  </si>
  <si>
    <t>q14.13</t>
  </si>
  <si>
    <t>q13.11</t>
  </si>
  <si>
    <t>q37.1</t>
  </si>
  <si>
    <t>q33.1</t>
  </si>
  <si>
    <t>p15.2</t>
  </si>
  <si>
    <t>q12.11</t>
  </si>
  <si>
    <t>q13.4</t>
  </si>
  <si>
    <t>q31.23</t>
  </si>
  <si>
    <t>p11.4</t>
  </si>
  <si>
    <t>p34.2</t>
  </si>
  <si>
    <t>p35.3</t>
  </si>
  <si>
    <t>p35.2</t>
  </si>
  <si>
    <t>p13.13</t>
  </si>
  <si>
    <t>p24.3</t>
  </si>
  <si>
    <t>p25.2</t>
  </si>
  <si>
    <t>q23.33</t>
  </si>
  <si>
    <t>q13.41</t>
  </si>
  <si>
    <t>q27.2</t>
  </si>
  <si>
    <t>p23</t>
  </si>
  <si>
    <t>q15.2</t>
  </si>
  <si>
    <t>A_band</t>
  </si>
  <si>
    <t>B_band</t>
  </si>
  <si>
    <t>Fusion</t>
  </si>
  <si>
    <t>LRP1-XPO5</t>
  </si>
  <si>
    <t>SPECC1L-PPP6R2</t>
  </si>
  <si>
    <t>UBXN2A-GBAS</t>
  </si>
  <si>
    <t>R3HDM2-TSFM</t>
  </si>
  <si>
    <t>RPL36-TTYH1</t>
  </si>
  <si>
    <t>ADAM17-SLC23A3</t>
  </si>
  <si>
    <t>MARCH9-CD2AP</t>
  </si>
  <si>
    <t>EGFR-SEPT14</t>
  </si>
  <si>
    <t>DOCK1-DPCD</t>
  </si>
  <si>
    <t>ASTN2-ARHGDIG</t>
  </si>
  <si>
    <t>R3HDM2-XRCC6BP1</t>
  </si>
  <si>
    <t>NFASC-SOX13</t>
  </si>
  <si>
    <t>NAT8L-DBNDD1</t>
  </si>
  <si>
    <t>RAP1B-CPM</t>
  </si>
  <si>
    <t>AKAP9-PON2</t>
  </si>
  <si>
    <t>CASD1-VWC2</t>
  </si>
  <si>
    <t>WWOX-C15orf41</t>
  </si>
  <si>
    <t>UBXN7-RPL39L</t>
  </si>
  <si>
    <t>SEC61G-EGFR</t>
  </si>
  <si>
    <t>SCAF1-TRAPPC6A</t>
  </si>
  <si>
    <t>NELL2-OS9</t>
  </si>
  <si>
    <t>SOBP-AIM1</t>
  </si>
  <si>
    <t>ARID1B-TIAM2</t>
  </si>
  <si>
    <t>PATL1-TECTA</t>
  </si>
  <si>
    <t>RAP1B-CTDSP2</t>
  </si>
  <si>
    <t>RPS6KC1-LYST</t>
  </si>
  <si>
    <t>NUDT2-GLIPR2</t>
  </si>
  <si>
    <t>CHN2-TSPAN33</t>
  </si>
  <si>
    <t>ZNF544-AP2A1</t>
  </si>
  <si>
    <t>JAZF1-CPT1C</t>
  </si>
  <si>
    <t>ZNF610-RALA</t>
  </si>
  <si>
    <t>HIBADH-C7orf10</t>
  </si>
  <si>
    <t>NEGR1-ZRANB2</t>
  </si>
  <si>
    <t>TSFM-INHBE</t>
  </si>
  <si>
    <t>CLEC16A-TXNDC11</t>
  </si>
  <si>
    <t>ZCCHC17-FABP3</t>
  </si>
  <si>
    <t>MARCH9-METTL1</t>
  </si>
  <si>
    <t>STAMBPL1-ATAD1</t>
  </si>
  <si>
    <t>ZBTB48-ESPN</t>
  </si>
  <si>
    <t>CDKN2B-DGKD</t>
  </si>
  <si>
    <t>MICAL3-XBP1</t>
  </si>
  <si>
    <t>ARHGAP21-ENKUR</t>
  </si>
  <si>
    <t>METTL12-DPF2</t>
  </si>
  <si>
    <t>TXNDC15-ARPC2</t>
  </si>
  <si>
    <t>ARIH2-CAMP</t>
  </si>
  <si>
    <t>C6orf204-SYTL3</t>
  </si>
  <si>
    <t>FARS2-BATF2</t>
  </si>
  <si>
    <t>UBIAD1-PTBP2</t>
  </si>
  <si>
    <t>CLIC4-SRRM1</t>
  </si>
  <si>
    <t>SKI-SSU72</t>
  </si>
  <si>
    <t>NBPF3-EPHB2</t>
  </si>
  <si>
    <t>MTOR-CAMTA1</t>
  </si>
  <si>
    <t>CNN3-ALG14</t>
  </si>
  <si>
    <t>ARID1A-BEND5</t>
  </si>
  <si>
    <t>CEP170-C1orf100</t>
  </si>
  <si>
    <t>AKT3-C1orf150</t>
  </si>
  <si>
    <t>ASH1L-C1orf61</t>
  </si>
  <si>
    <t>PGD-CAMTA1</t>
  </si>
  <si>
    <t>NFASC-LRRN2</t>
  </si>
  <si>
    <t>UBE4B-MED18</t>
  </si>
  <si>
    <t>CERS2-PIGC</t>
  </si>
  <si>
    <t>CLIC4-PLOD1</t>
  </si>
  <si>
    <t>NUCKS1-PM20D1</t>
  </si>
  <si>
    <t>NFASC-PRELP</t>
  </si>
  <si>
    <t>C1orf61-RHBG</t>
  </si>
  <si>
    <t>YARS-RNF19B</t>
  </si>
  <si>
    <t>HDAC1-SERINC2</t>
  </si>
  <si>
    <t>MTF1-SF3A3</t>
  </si>
  <si>
    <t>CSMD2-TMEM222</t>
  </si>
  <si>
    <t>PLEKHM2-TMEM51</t>
  </si>
  <si>
    <t>GATAD2B-TNFSF18</t>
  </si>
  <si>
    <t>KIF1B-UBE4B</t>
  </si>
  <si>
    <t>SPP1-PPT1</t>
  </si>
  <si>
    <t>ENTPD7-IDE</t>
  </si>
  <si>
    <t>BMPR1A-LIPA</t>
  </si>
  <si>
    <t>JMJD1C-NRBF2</t>
  </si>
  <si>
    <t>C10orf26-SUFU</t>
  </si>
  <si>
    <t>NFASC-RTN3</t>
  </si>
  <si>
    <t>MEF2D-ZDHHC5</t>
  </si>
  <si>
    <t>LRP5-ATG16L2</t>
  </si>
  <si>
    <t>DPF2-POLA2</t>
  </si>
  <si>
    <t>KDM2A-SYT12</t>
  </si>
  <si>
    <t>TMEM120B-AVIL</t>
  </si>
  <si>
    <t>EFCAB4B-C12orf4</t>
  </si>
  <si>
    <t>RPL41-NACA</t>
  </si>
  <si>
    <t>SLC2A13-ANAPC7</t>
  </si>
  <si>
    <t>ARHGEF25-B4GALNT1</t>
  </si>
  <si>
    <t>CTDSP2-C12orf10</t>
  </si>
  <si>
    <t>TM7SF3-C12orf42</t>
  </si>
  <si>
    <t>AGAP2-CYP27B1</t>
  </si>
  <si>
    <t>NCOR2-DHX37</t>
  </si>
  <si>
    <t>PPFIA2-DPY19L2</t>
  </si>
  <si>
    <t>YEATS4-EP400</t>
  </si>
  <si>
    <t>DDIT3-GLI1</t>
  </si>
  <si>
    <t>CPSF6-KCNMB4</t>
  </si>
  <si>
    <t>FRS2-KIF5A</t>
  </si>
  <si>
    <t>MDM2-KRT86</t>
  </si>
  <si>
    <t>KIAA1033-LGR5</t>
  </si>
  <si>
    <t>FGD4-LRRK2</t>
  </si>
  <si>
    <t>GNB3-METAP2</t>
  </si>
  <si>
    <t>HMGA2-NUP107</t>
  </si>
  <si>
    <t>MARCH9-OS9</t>
  </si>
  <si>
    <t>SLC35E3-OS9</t>
  </si>
  <si>
    <t>SLC11A2-PFKM</t>
  </si>
  <si>
    <t>R3HDM2-PIP4K2C</t>
  </si>
  <si>
    <t>ATXN2-RPL6</t>
  </si>
  <si>
    <t>NOC4L-SDS</t>
  </si>
  <si>
    <t>FOXM1-SLC2A14</t>
  </si>
  <si>
    <t>DIP2B-TMBIM6</t>
  </si>
  <si>
    <t>TMEM19-TSPAN8</t>
  </si>
  <si>
    <t>PCBP2-UHRF1BP1L</t>
  </si>
  <si>
    <t>COQ10A-USP5</t>
  </si>
  <si>
    <t>UHRF1BP1-EPYC</t>
  </si>
  <si>
    <t>PSPC1-CRYL1</t>
  </si>
  <si>
    <t>TDRD3-ESD</t>
  </si>
  <si>
    <t>MED4-HTR2A</t>
  </si>
  <si>
    <t>AKAP11-MRPS31</t>
  </si>
  <si>
    <t>VWC2-RAB20</t>
  </si>
  <si>
    <t>ARID1A-RNF31</t>
  </si>
  <si>
    <t>SRM-SMEK1</t>
  </si>
  <si>
    <t>AKAP6-EGLN3</t>
  </si>
  <si>
    <t>ATG14-FUT8</t>
  </si>
  <si>
    <t>SPRED2-G2E3</t>
  </si>
  <si>
    <t>BRPF3-STARD9</t>
  </si>
  <si>
    <t>BAI2-HS3ST4</t>
  </si>
  <si>
    <t>MYL6B-VWA3A</t>
  </si>
  <si>
    <t>NUDT16L1-FAHD1</t>
  </si>
  <si>
    <t>NAA60-IL32</t>
  </si>
  <si>
    <t>VASN-RBFOX1</t>
  </si>
  <si>
    <t>RAB40C-C16orf11</t>
  </si>
  <si>
    <t>ZC3H18-CHMP1A</t>
  </si>
  <si>
    <t>SF3B3-DDX19B</t>
  </si>
  <si>
    <t>TNRC6A-PRKCB</t>
  </si>
  <si>
    <t>CHI3L1-GFAP</t>
  </si>
  <si>
    <t>TPT1-GFAP</t>
  </si>
  <si>
    <t>THRA-GSDMA</t>
  </si>
  <si>
    <t>WSB1-MED1</t>
  </si>
  <si>
    <t>EIF4A1-PHOSPHO1</t>
  </si>
  <si>
    <t>MRC2-RND2</t>
  </si>
  <si>
    <t>RTTN-MAPK4</t>
  </si>
  <si>
    <t>SRP68-AP1M2</t>
  </si>
  <si>
    <t>CRTC1-KLHL26</t>
  </si>
  <si>
    <t>RAVER1-DOCK6</t>
  </si>
  <si>
    <t>SLC39A3-SGTA</t>
  </si>
  <si>
    <t>FKBP8-SLC1A6</t>
  </si>
  <si>
    <t>MAP3K13-CD37</t>
  </si>
  <si>
    <t>FBXL18-C19orf56</t>
  </si>
  <si>
    <t>SCCPDH-HDLBP</t>
  </si>
  <si>
    <t>PUM2-C2orf43</t>
  </si>
  <si>
    <t>NBAS-C2orf82</t>
  </si>
  <si>
    <t>MFSD6-CALCRL</t>
  </si>
  <si>
    <t>ATG4B-DTYMK</t>
  </si>
  <si>
    <t>SLC4A1AP-GPN1</t>
  </si>
  <si>
    <t>GIGYF2-NGEF</t>
  </si>
  <si>
    <t>ADAM17-YWHAQ</t>
  </si>
  <si>
    <t>SLC25A26-IMMT</t>
  </si>
  <si>
    <t>MTMR2-DPM1</t>
  </si>
  <si>
    <t>TM9SF4-HM13</t>
  </si>
  <si>
    <t>SLC39A9-BCL2L13</t>
  </si>
  <si>
    <t>ATP6V0A1-MB</t>
  </si>
  <si>
    <t>ZMAT5-ASCC2</t>
  </si>
  <si>
    <t>MED15-COMT</t>
  </si>
  <si>
    <t>RBFOX2-LGALS2</t>
  </si>
  <si>
    <t>ZC3H4-TTLL3</t>
  </si>
  <si>
    <t>SDC4-SPCS1</t>
  </si>
  <si>
    <t>SLC6A11-CAV3</t>
  </si>
  <si>
    <t>DYNC1LI1-GADL1</t>
  </si>
  <si>
    <t>TFG-GPR128</t>
  </si>
  <si>
    <t>ITGB5-SNX4</t>
  </si>
  <si>
    <t>DCTD-ECE2</t>
  </si>
  <si>
    <t>CTDSP2-DCUN1D4</t>
  </si>
  <si>
    <t>R3HDM2-SORBS2</t>
  </si>
  <si>
    <t>ANK2-ARHGAP10</t>
  </si>
  <si>
    <t>SCFD2-GSX2</t>
  </si>
  <si>
    <t>TBC1D14-HTRA3</t>
  </si>
  <si>
    <t>AASDH-LRRC66</t>
  </si>
  <si>
    <t>KIAA1211-NMU</t>
  </si>
  <si>
    <t>HOPX-PDCL2</t>
  </si>
  <si>
    <t>PIGG-SPINK2</t>
  </si>
  <si>
    <t>FGFR3-TACC3</t>
  </si>
  <si>
    <t>MIIP-CMYA5</t>
  </si>
  <si>
    <t>NAA30-TERT</t>
  </si>
  <si>
    <t>RREB1-EEF1E1</t>
  </si>
  <si>
    <t>PHF3-EYS</t>
  </si>
  <si>
    <t>SYNGAP1-HSP90AB1</t>
  </si>
  <si>
    <t>ATG5-PDSS2</t>
  </si>
  <si>
    <t>MDGA1-PTK7</t>
  </si>
  <si>
    <t>GPLD1-TDP2</t>
  </si>
  <si>
    <t>SLC22A23-TNFRSF21</t>
  </si>
  <si>
    <t>KIAA1199-ZYX</t>
  </si>
  <si>
    <t>SP4-GPNMB</t>
  </si>
  <si>
    <t>HECW1-C7orf44</t>
  </si>
  <si>
    <t>IMMP2L-DYNC1I1</t>
  </si>
  <si>
    <t>KRIT1-GNGT1</t>
  </si>
  <si>
    <t>PION-STYXL1</t>
  </si>
  <si>
    <t>SRRT-C7orf16</t>
  </si>
  <si>
    <t>ST7-CAV1</t>
  </si>
  <si>
    <t>WBSCR17-PPP1R9A</t>
  </si>
  <si>
    <t>COBL-SEPT14</t>
  </si>
  <si>
    <t>LANCL2-SEPT14</t>
  </si>
  <si>
    <t>ZNF713-LANCL2</t>
  </si>
  <si>
    <t>AGAP2-TMEM67</t>
  </si>
  <si>
    <t>SRP68-URM1</t>
  </si>
  <si>
    <t>MYO18B-UBE2R2</t>
  </si>
  <si>
    <t>NAA15-LPAR1</t>
  </si>
  <si>
    <t>MLLT3-IZUMO3</t>
  </si>
  <si>
    <t>NFX1-C9orf24</t>
  </si>
  <si>
    <t>KIAA1797-MOBKL2B</t>
  </si>
  <si>
    <t>FAM102A-PTGES2</t>
  </si>
  <si>
    <t>CLTA-UBE2R2</t>
  </si>
  <si>
    <t>WDR59-ASB9</t>
  </si>
  <si>
    <t>EML4-CASK</t>
  </si>
  <si>
    <t>SSR1-DMD</t>
  </si>
  <si>
    <t>Gene_A iCNA Significant</t>
  </si>
  <si>
    <t>Gene_B iCNA Significant</t>
  </si>
  <si>
    <t>Source</t>
  </si>
  <si>
    <t>DNA - WGS</t>
  </si>
  <si>
    <t>RNA</t>
  </si>
  <si>
    <t>A_chr</t>
  </si>
  <si>
    <t>Supplemental Table S4. Genomic Rearrangements</t>
  </si>
  <si>
    <t>RNAseq 
data
 available</t>
  </si>
  <si>
    <t>WGS 
data
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</si>
</sst>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Verdana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scheme val="minor"/>
    </font>
    <font>
      <sz val="14"/>
      <color theme="1"/>
      <name val="Calibri"/>
      <scheme val="minor"/>
    </font>
    <font>
      <b/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</borders>
  <cellStyleXfs count="5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6" applyFont="1" applyAlignment="1">
      <alignment horizontal="center"/>
    </xf>
    <xf numFmtId="0" fontId="8" fillId="0" borderId="0" xfId="6" applyNumberFormat="1" applyFont="1" applyAlignment="1">
      <alignment horizontal="center"/>
    </xf>
    <xf numFmtId="0" fontId="8" fillId="0" borderId="0" xfId="6" applyNumberFormat="1" applyFo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10" fillId="0" borderId="1" xfId="6" applyNumberFormat="1" applyFont="1" applyBorder="1" applyAlignment="1"/>
    <xf numFmtId="0" fontId="10" fillId="0" borderId="3" xfId="6" applyFont="1" applyFill="1" applyBorder="1" applyAlignment="1">
      <alignment horizontal="center"/>
    </xf>
    <xf numFmtId="0" fontId="10" fillId="0" borderId="4" xfId="6" applyFont="1" applyFill="1" applyBorder="1" applyAlignment="1">
      <alignment horizontal="center"/>
    </xf>
    <xf numFmtId="0" fontId="10" fillId="0" borderId="4" xfId="6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10" fillId="0" borderId="4" xfId="6" applyFont="1" applyBorder="1" applyAlignment="1">
      <alignment horizontal="center" wrapText="1"/>
    </xf>
    <xf numFmtId="0" fontId="10" fillId="0" borderId="5" xfId="6" applyNumberFormat="1" applyFont="1" applyBorder="1" applyAlignment="1">
      <alignment horizontal="center" wrapText="1"/>
    </xf>
    <xf numFmtId="0" fontId="8" fillId="0" borderId="2" xfId="6" applyFont="1" applyBorder="1" applyAlignment="1">
      <alignment horizontal="center"/>
    </xf>
    <xf numFmtId="49" fontId="8" fillId="0" borderId="2" xfId="6" applyNumberFormat="1" applyFont="1" applyBorder="1" applyAlignment="1">
      <alignment horizontal="center"/>
    </xf>
    <xf numFmtId="0" fontId="8" fillId="0" borderId="2" xfId="6" applyNumberFormat="1" applyFont="1" applyBorder="1" applyAlignment="1">
      <alignment horizontal="center"/>
    </xf>
    <xf numFmtId="0" fontId="8" fillId="0" borderId="2" xfId="6" applyNumberFormat="1" applyFont="1" applyBorder="1"/>
    <xf numFmtId="49" fontId="8" fillId="0" borderId="2" xfId="6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8" fillId="0" borderId="6" xfId="6" applyFont="1" applyBorder="1" applyAlignment="1">
      <alignment horizontal="center"/>
    </xf>
    <xf numFmtId="0" fontId="8" fillId="0" borderId="7" xfId="6" applyFont="1" applyBorder="1" applyAlignment="1">
      <alignment horizontal="center"/>
    </xf>
    <xf numFmtId="49" fontId="8" fillId="0" borderId="7" xfId="6" applyNumberFormat="1" applyFont="1" applyBorder="1" applyAlignment="1">
      <alignment horizontal="center"/>
    </xf>
    <xf numFmtId="0" fontId="8" fillId="0" borderId="7" xfId="6" applyNumberFormat="1" applyFont="1" applyBorder="1" applyAlignment="1">
      <alignment horizontal="center"/>
    </xf>
    <xf numFmtId="0" fontId="8" fillId="0" borderId="7" xfId="6" applyNumberFormat="1" applyFont="1" applyBorder="1"/>
    <xf numFmtId="0" fontId="8" fillId="0" borderId="8" xfId="6" applyNumberFormat="1" applyFont="1" applyBorder="1" applyAlignment="1">
      <alignment horizontal="center"/>
    </xf>
    <xf numFmtId="0" fontId="8" fillId="0" borderId="9" xfId="6" applyFont="1" applyBorder="1" applyAlignment="1">
      <alignment horizontal="center"/>
    </xf>
    <xf numFmtId="0" fontId="8" fillId="0" borderId="10" xfId="6" applyNumberFormat="1" applyFont="1" applyBorder="1" applyAlignment="1">
      <alignment horizontal="center"/>
    </xf>
    <xf numFmtId="0" fontId="8" fillId="0" borderId="9" xfId="6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8" fillId="0" borderId="17" xfId="6" applyFont="1" applyBorder="1" applyAlignment="1">
      <alignment horizontal="center"/>
    </xf>
    <xf numFmtId="0" fontId="8" fillId="0" borderId="18" xfId="6" applyFont="1" applyBorder="1" applyAlignment="1">
      <alignment horizontal="center"/>
    </xf>
    <xf numFmtId="49" fontId="8" fillId="0" borderId="18" xfId="6" applyNumberFormat="1" applyFont="1" applyBorder="1" applyAlignment="1">
      <alignment horizontal="center"/>
    </xf>
    <xf numFmtId="0" fontId="8" fillId="0" borderId="18" xfId="6" applyNumberFormat="1" applyFont="1" applyBorder="1" applyAlignment="1">
      <alignment horizontal="center"/>
    </xf>
    <xf numFmtId="0" fontId="8" fillId="0" borderId="18" xfId="6" applyNumberFormat="1" applyFont="1" applyBorder="1"/>
    <xf numFmtId="0" fontId="8" fillId="0" borderId="19" xfId="6" applyNumberFormat="1" applyFont="1" applyBorder="1" applyAlignment="1">
      <alignment horizontal="center"/>
    </xf>
  </cellXfs>
  <cellStyles count="51">
    <cellStyle name="Followed Hyperlink" xfId="3" builtinId="9" hidden="1"/>
    <cellStyle name="Followed Hyperlink" xfId="5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2" builtinId="8" hidden="1"/>
    <cellStyle name="Hyperlink" xfId="4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  <cellStyle name="Normal 2" xfId="1"/>
    <cellStyle name="Normal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467"/>
  <sheetViews>
    <sheetView tabSelected="1" topLeftCell="A209" workbookViewId="0">
      <selection activeCell="P229" sqref="P229"/>
    </sheetView>
  </sheetViews>
  <sheetFormatPr baseColWidth="10" defaultColWidth="8.75" defaultRowHeight="16" customHeight="1" x14ac:dyDescent="0"/>
  <cols>
    <col min="1" max="1" width="12.75" style="3" customWidth="1"/>
    <col min="2" max="2" width="9.875" style="3" bestFit="1" customWidth="1"/>
    <col min="3" max="3" width="17.25" style="3" bestFit="1" customWidth="1"/>
    <col min="4" max="4" width="9.125" style="3" bestFit="1" customWidth="1"/>
    <col min="5" max="5" width="9.375" style="3" bestFit="1" customWidth="1"/>
    <col min="6" max="6" width="5.375" style="3" bestFit="1" customWidth="1"/>
    <col min="7" max="7" width="6.625" style="3" bestFit="1" customWidth="1"/>
    <col min="8" max="8" width="5.25" style="3" bestFit="1" customWidth="1"/>
    <col min="9" max="9" width="6.375" style="3" bestFit="1" customWidth="1"/>
    <col min="10" max="11" width="9.875" style="5" customWidth="1"/>
    <col min="12" max="12" width="5.25" style="3" bestFit="1" customWidth="1"/>
    <col min="13" max="13" width="7.25" style="3" bestFit="1" customWidth="1"/>
    <col min="14" max="14" width="10" style="3" bestFit="1" customWidth="1"/>
    <col min="15" max="15" width="7.625" style="3" bestFit="1" customWidth="1"/>
    <col min="16" max="16" width="8" style="4" bestFit="1" customWidth="1"/>
    <col min="17" max="17" width="14.75" style="5" bestFit="1" customWidth="1"/>
    <col min="18" max="18" width="16.125" style="5" bestFit="1" customWidth="1"/>
    <col min="19" max="19" width="8.625" style="5" bestFit="1" customWidth="1"/>
    <col min="20" max="223" width="8.75" style="5"/>
    <col min="224" max="224" width="41.25" style="5" bestFit="1" customWidth="1"/>
    <col min="225" max="225" width="15.125" style="5" bestFit="1" customWidth="1"/>
    <col min="226" max="235" width="8.75" style="5"/>
    <col min="236" max="236" width="21.625" style="5" bestFit="1" customWidth="1"/>
    <col min="237" max="239" width="8.75" style="5"/>
    <col min="240" max="240" width="15.125" style="5" bestFit="1" customWidth="1"/>
    <col min="241" max="242" width="8.75" style="5"/>
    <col min="243" max="243" width="25.875" style="5" bestFit="1" customWidth="1"/>
    <col min="244" max="246" width="8.75" style="5"/>
    <col min="247" max="247" width="19.125" style="5" bestFit="1" customWidth="1"/>
    <col min="248" max="248" width="18.75" style="5" bestFit="1" customWidth="1"/>
    <col min="249" max="249" width="18.25" style="5" customWidth="1"/>
    <col min="250" max="250" width="20.625" style="5" bestFit="1" customWidth="1"/>
    <col min="251" max="251" width="14.625" style="5" bestFit="1" customWidth="1"/>
    <col min="252" max="252" width="16.125" style="5" bestFit="1" customWidth="1"/>
    <col min="253" max="253" width="15.125" style="5" bestFit="1" customWidth="1"/>
    <col min="254" max="479" width="8.75" style="5"/>
    <col min="480" max="480" width="41.25" style="5" bestFit="1" customWidth="1"/>
    <col min="481" max="481" width="15.125" style="5" bestFit="1" customWidth="1"/>
    <col min="482" max="491" width="8.75" style="5"/>
    <col min="492" max="492" width="21.625" style="5" bestFit="1" customWidth="1"/>
    <col min="493" max="495" width="8.75" style="5"/>
    <col min="496" max="496" width="15.125" style="5" bestFit="1" customWidth="1"/>
    <col min="497" max="498" width="8.75" style="5"/>
    <col min="499" max="499" width="25.875" style="5" bestFit="1" customWidth="1"/>
    <col min="500" max="502" width="8.75" style="5"/>
    <col min="503" max="503" width="19.125" style="5" bestFit="1" customWidth="1"/>
    <col min="504" max="504" width="18.75" style="5" bestFit="1" customWidth="1"/>
    <col min="505" max="505" width="18.25" style="5" customWidth="1"/>
    <col min="506" max="506" width="20.625" style="5" bestFit="1" customWidth="1"/>
    <col min="507" max="507" width="14.625" style="5" bestFit="1" customWidth="1"/>
    <col min="508" max="508" width="16.125" style="5" bestFit="1" customWidth="1"/>
    <col min="509" max="509" width="15.125" style="5" bestFit="1" customWidth="1"/>
    <col min="510" max="735" width="8.75" style="5"/>
    <col min="736" max="736" width="41.25" style="5" bestFit="1" customWidth="1"/>
    <col min="737" max="737" width="15.125" style="5" bestFit="1" customWidth="1"/>
    <col min="738" max="747" width="8.75" style="5"/>
    <col min="748" max="748" width="21.625" style="5" bestFit="1" customWidth="1"/>
    <col min="749" max="751" width="8.75" style="5"/>
    <col min="752" max="752" width="15.125" style="5" bestFit="1" customWidth="1"/>
    <col min="753" max="754" width="8.75" style="5"/>
    <col min="755" max="755" width="25.875" style="5" bestFit="1" customWidth="1"/>
    <col min="756" max="758" width="8.75" style="5"/>
    <col min="759" max="759" width="19.125" style="5" bestFit="1" customWidth="1"/>
    <col min="760" max="760" width="18.75" style="5" bestFit="1" customWidth="1"/>
    <col min="761" max="761" width="18.25" style="5" customWidth="1"/>
    <col min="762" max="762" width="20.625" style="5" bestFit="1" customWidth="1"/>
    <col min="763" max="763" width="14.625" style="5" bestFit="1" customWidth="1"/>
    <col min="764" max="764" width="16.125" style="5" bestFit="1" customWidth="1"/>
    <col min="765" max="765" width="15.125" style="5" bestFit="1" customWidth="1"/>
    <col min="766" max="991" width="8.75" style="5"/>
    <col min="992" max="992" width="41.25" style="5" bestFit="1" customWidth="1"/>
    <col min="993" max="993" width="15.125" style="5" bestFit="1" customWidth="1"/>
    <col min="994" max="1003" width="8.75" style="5"/>
    <col min="1004" max="1004" width="21.625" style="5" bestFit="1" customWidth="1"/>
    <col min="1005" max="1007" width="8.75" style="5"/>
    <col min="1008" max="1008" width="15.125" style="5" bestFit="1" customWidth="1"/>
    <col min="1009" max="1010" width="8.75" style="5"/>
    <col min="1011" max="1011" width="25.875" style="5" bestFit="1" customWidth="1"/>
    <col min="1012" max="1014" width="8.75" style="5"/>
    <col min="1015" max="1015" width="19.125" style="5" bestFit="1" customWidth="1"/>
    <col min="1016" max="1016" width="18.75" style="5" bestFit="1" customWidth="1"/>
    <col min="1017" max="1017" width="18.25" style="5" customWidth="1"/>
    <col min="1018" max="1018" width="20.625" style="5" bestFit="1" customWidth="1"/>
    <col min="1019" max="1019" width="14.625" style="5" bestFit="1" customWidth="1"/>
    <col min="1020" max="1020" width="16.125" style="5" bestFit="1" customWidth="1"/>
    <col min="1021" max="1021" width="15.125" style="5" bestFit="1" customWidth="1"/>
    <col min="1022" max="1247" width="8.75" style="5"/>
    <col min="1248" max="1248" width="41.25" style="5" bestFit="1" customWidth="1"/>
    <col min="1249" max="1249" width="15.125" style="5" bestFit="1" customWidth="1"/>
    <col min="1250" max="1259" width="8.75" style="5"/>
    <col min="1260" max="1260" width="21.625" style="5" bestFit="1" customWidth="1"/>
    <col min="1261" max="1263" width="8.75" style="5"/>
    <col min="1264" max="1264" width="15.125" style="5" bestFit="1" customWidth="1"/>
    <col min="1265" max="1266" width="8.75" style="5"/>
    <col min="1267" max="1267" width="25.875" style="5" bestFit="1" customWidth="1"/>
    <col min="1268" max="1270" width="8.75" style="5"/>
    <col min="1271" max="1271" width="19.125" style="5" bestFit="1" customWidth="1"/>
    <col min="1272" max="1272" width="18.75" style="5" bestFit="1" customWidth="1"/>
    <col min="1273" max="1273" width="18.25" style="5" customWidth="1"/>
    <col min="1274" max="1274" width="20.625" style="5" bestFit="1" customWidth="1"/>
    <col min="1275" max="1275" width="14.625" style="5" bestFit="1" customWidth="1"/>
    <col min="1276" max="1276" width="16.125" style="5" bestFit="1" customWidth="1"/>
    <col min="1277" max="1277" width="15.125" style="5" bestFit="1" customWidth="1"/>
    <col min="1278" max="1503" width="8.75" style="5"/>
    <col min="1504" max="1504" width="41.25" style="5" bestFit="1" customWidth="1"/>
    <col min="1505" max="1505" width="15.125" style="5" bestFit="1" customWidth="1"/>
    <col min="1506" max="1515" width="8.75" style="5"/>
    <col min="1516" max="1516" width="21.625" style="5" bestFit="1" customWidth="1"/>
    <col min="1517" max="1519" width="8.75" style="5"/>
    <col min="1520" max="1520" width="15.125" style="5" bestFit="1" customWidth="1"/>
    <col min="1521" max="1522" width="8.75" style="5"/>
    <col min="1523" max="1523" width="25.875" style="5" bestFit="1" customWidth="1"/>
    <col min="1524" max="1526" width="8.75" style="5"/>
    <col min="1527" max="1527" width="19.125" style="5" bestFit="1" customWidth="1"/>
    <col min="1528" max="1528" width="18.75" style="5" bestFit="1" customWidth="1"/>
    <col min="1529" max="1529" width="18.25" style="5" customWidth="1"/>
    <col min="1530" max="1530" width="20.625" style="5" bestFit="1" customWidth="1"/>
    <col min="1531" max="1531" width="14.625" style="5" bestFit="1" customWidth="1"/>
    <col min="1532" max="1532" width="16.125" style="5" bestFit="1" customWidth="1"/>
    <col min="1533" max="1533" width="15.125" style="5" bestFit="1" customWidth="1"/>
    <col min="1534" max="1759" width="8.75" style="5"/>
    <col min="1760" max="1760" width="41.25" style="5" bestFit="1" customWidth="1"/>
    <col min="1761" max="1761" width="15.125" style="5" bestFit="1" customWidth="1"/>
    <col min="1762" max="1771" width="8.75" style="5"/>
    <col min="1772" max="1772" width="21.625" style="5" bestFit="1" customWidth="1"/>
    <col min="1773" max="1775" width="8.75" style="5"/>
    <col min="1776" max="1776" width="15.125" style="5" bestFit="1" customWidth="1"/>
    <col min="1777" max="1778" width="8.75" style="5"/>
    <col min="1779" max="1779" width="25.875" style="5" bestFit="1" customWidth="1"/>
    <col min="1780" max="1782" width="8.75" style="5"/>
    <col min="1783" max="1783" width="19.125" style="5" bestFit="1" customWidth="1"/>
    <col min="1784" max="1784" width="18.75" style="5" bestFit="1" customWidth="1"/>
    <col min="1785" max="1785" width="18.25" style="5" customWidth="1"/>
    <col min="1786" max="1786" width="20.625" style="5" bestFit="1" customWidth="1"/>
    <col min="1787" max="1787" width="14.625" style="5" bestFit="1" customWidth="1"/>
    <col min="1788" max="1788" width="16.125" style="5" bestFit="1" customWidth="1"/>
    <col min="1789" max="1789" width="15.125" style="5" bestFit="1" customWidth="1"/>
    <col min="1790" max="2015" width="8.75" style="5"/>
    <col min="2016" max="2016" width="41.25" style="5" bestFit="1" customWidth="1"/>
    <col min="2017" max="2017" width="15.125" style="5" bestFit="1" customWidth="1"/>
    <col min="2018" max="2027" width="8.75" style="5"/>
    <col min="2028" max="2028" width="21.625" style="5" bestFit="1" customWidth="1"/>
    <col min="2029" max="2031" width="8.75" style="5"/>
    <col min="2032" max="2032" width="15.125" style="5" bestFit="1" customWidth="1"/>
    <col min="2033" max="2034" width="8.75" style="5"/>
    <col min="2035" max="2035" width="25.875" style="5" bestFit="1" customWidth="1"/>
    <col min="2036" max="2038" width="8.75" style="5"/>
    <col min="2039" max="2039" width="19.125" style="5" bestFit="1" customWidth="1"/>
    <col min="2040" max="2040" width="18.75" style="5" bestFit="1" customWidth="1"/>
    <col min="2041" max="2041" width="18.25" style="5" customWidth="1"/>
    <col min="2042" max="2042" width="20.625" style="5" bestFit="1" customWidth="1"/>
    <col min="2043" max="2043" width="14.625" style="5" bestFit="1" customWidth="1"/>
    <col min="2044" max="2044" width="16.125" style="5" bestFit="1" customWidth="1"/>
    <col min="2045" max="2045" width="15.125" style="5" bestFit="1" customWidth="1"/>
    <col min="2046" max="2271" width="8.75" style="5"/>
    <col min="2272" max="2272" width="41.25" style="5" bestFit="1" customWidth="1"/>
    <col min="2273" max="2273" width="15.125" style="5" bestFit="1" customWidth="1"/>
    <col min="2274" max="2283" width="8.75" style="5"/>
    <col min="2284" max="2284" width="21.625" style="5" bestFit="1" customWidth="1"/>
    <col min="2285" max="2287" width="8.75" style="5"/>
    <col min="2288" max="2288" width="15.125" style="5" bestFit="1" customWidth="1"/>
    <col min="2289" max="2290" width="8.75" style="5"/>
    <col min="2291" max="2291" width="25.875" style="5" bestFit="1" customWidth="1"/>
    <col min="2292" max="2294" width="8.75" style="5"/>
    <col min="2295" max="2295" width="19.125" style="5" bestFit="1" customWidth="1"/>
    <col min="2296" max="2296" width="18.75" style="5" bestFit="1" customWidth="1"/>
    <col min="2297" max="2297" width="18.25" style="5" customWidth="1"/>
    <col min="2298" max="2298" width="20.625" style="5" bestFit="1" customWidth="1"/>
    <col min="2299" max="2299" width="14.625" style="5" bestFit="1" customWidth="1"/>
    <col min="2300" max="2300" width="16.125" style="5" bestFit="1" customWidth="1"/>
    <col min="2301" max="2301" width="15.125" style="5" bestFit="1" customWidth="1"/>
    <col min="2302" max="2527" width="8.75" style="5"/>
    <col min="2528" max="2528" width="41.25" style="5" bestFit="1" customWidth="1"/>
    <col min="2529" max="2529" width="15.125" style="5" bestFit="1" customWidth="1"/>
    <col min="2530" max="2539" width="8.75" style="5"/>
    <col min="2540" max="2540" width="21.625" style="5" bestFit="1" customWidth="1"/>
    <col min="2541" max="2543" width="8.75" style="5"/>
    <col min="2544" max="2544" width="15.125" style="5" bestFit="1" customWidth="1"/>
    <col min="2545" max="2546" width="8.75" style="5"/>
    <col min="2547" max="2547" width="25.875" style="5" bestFit="1" customWidth="1"/>
    <col min="2548" max="2550" width="8.75" style="5"/>
    <col min="2551" max="2551" width="19.125" style="5" bestFit="1" customWidth="1"/>
    <col min="2552" max="2552" width="18.75" style="5" bestFit="1" customWidth="1"/>
    <col min="2553" max="2553" width="18.25" style="5" customWidth="1"/>
    <col min="2554" max="2554" width="20.625" style="5" bestFit="1" customWidth="1"/>
    <col min="2555" max="2555" width="14.625" style="5" bestFit="1" customWidth="1"/>
    <col min="2556" max="2556" width="16.125" style="5" bestFit="1" customWidth="1"/>
    <col min="2557" max="2557" width="15.125" style="5" bestFit="1" customWidth="1"/>
    <col min="2558" max="2783" width="8.75" style="5"/>
    <col min="2784" max="2784" width="41.25" style="5" bestFit="1" customWidth="1"/>
    <col min="2785" max="2785" width="15.125" style="5" bestFit="1" customWidth="1"/>
    <col min="2786" max="2795" width="8.75" style="5"/>
    <col min="2796" max="2796" width="21.625" style="5" bestFit="1" customWidth="1"/>
    <col min="2797" max="2799" width="8.75" style="5"/>
    <col min="2800" max="2800" width="15.125" style="5" bestFit="1" customWidth="1"/>
    <col min="2801" max="2802" width="8.75" style="5"/>
    <col min="2803" max="2803" width="25.875" style="5" bestFit="1" customWidth="1"/>
    <col min="2804" max="2806" width="8.75" style="5"/>
    <col min="2807" max="2807" width="19.125" style="5" bestFit="1" customWidth="1"/>
    <col min="2808" max="2808" width="18.75" style="5" bestFit="1" customWidth="1"/>
    <col min="2809" max="2809" width="18.25" style="5" customWidth="1"/>
    <col min="2810" max="2810" width="20.625" style="5" bestFit="1" customWidth="1"/>
    <col min="2811" max="2811" width="14.625" style="5" bestFit="1" customWidth="1"/>
    <col min="2812" max="2812" width="16.125" style="5" bestFit="1" customWidth="1"/>
    <col min="2813" max="2813" width="15.125" style="5" bestFit="1" customWidth="1"/>
    <col min="2814" max="3039" width="8.75" style="5"/>
    <col min="3040" max="3040" width="41.25" style="5" bestFit="1" customWidth="1"/>
    <col min="3041" max="3041" width="15.125" style="5" bestFit="1" customWidth="1"/>
    <col min="3042" max="3051" width="8.75" style="5"/>
    <col min="3052" max="3052" width="21.625" style="5" bestFit="1" customWidth="1"/>
    <col min="3053" max="3055" width="8.75" style="5"/>
    <col min="3056" max="3056" width="15.125" style="5" bestFit="1" customWidth="1"/>
    <col min="3057" max="3058" width="8.75" style="5"/>
    <col min="3059" max="3059" width="25.875" style="5" bestFit="1" customWidth="1"/>
    <col min="3060" max="3062" width="8.75" style="5"/>
    <col min="3063" max="3063" width="19.125" style="5" bestFit="1" customWidth="1"/>
    <col min="3064" max="3064" width="18.75" style="5" bestFit="1" customWidth="1"/>
    <col min="3065" max="3065" width="18.25" style="5" customWidth="1"/>
    <col min="3066" max="3066" width="20.625" style="5" bestFit="1" customWidth="1"/>
    <col min="3067" max="3067" width="14.625" style="5" bestFit="1" customWidth="1"/>
    <col min="3068" max="3068" width="16.125" style="5" bestFit="1" customWidth="1"/>
    <col min="3069" max="3069" width="15.125" style="5" bestFit="1" customWidth="1"/>
    <col min="3070" max="3295" width="8.75" style="5"/>
    <col min="3296" max="3296" width="41.25" style="5" bestFit="1" customWidth="1"/>
    <col min="3297" max="3297" width="15.125" style="5" bestFit="1" customWidth="1"/>
    <col min="3298" max="3307" width="8.75" style="5"/>
    <col min="3308" max="3308" width="21.625" style="5" bestFit="1" customWidth="1"/>
    <col min="3309" max="3311" width="8.75" style="5"/>
    <col min="3312" max="3312" width="15.125" style="5" bestFit="1" customWidth="1"/>
    <col min="3313" max="3314" width="8.75" style="5"/>
    <col min="3315" max="3315" width="25.875" style="5" bestFit="1" customWidth="1"/>
    <col min="3316" max="3318" width="8.75" style="5"/>
    <col min="3319" max="3319" width="19.125" style="5" bestFit="1" customWidth="1"/>
    <col min="3320" max="3320" width="18.75" style="5" bestFit="1" customWidth="1"/>
    <col min="3321" max="3321" width="18.25" style="5" customWidth="1"/>
    <col min="3322" max="3322" width="20.625" style="5" bestFit="1" customWidth="1"/>
    <col min="3323" max="3323" width="14.625" style="5" bestFit="1" customWidth="1"/>
    <col min="3324" max="3324" width="16.125" style="5" bestFit="1" customWidth="1"/>
    <col min="3325" max="3325" width="15.125" style="5" bestFit="1" customWidth="1"/>
    <col min="3326" max="3551" width="8.75" style="5"/>
    <col min="3552" max="3552" width="41.25" style="5" bestFit="1" customWidth="1"/>
    <col min="3553" max="3553" width="15.125" style="5" bestFit="1" customWidth="1"/>
    <col min="3554" max="3563" width="8.75" style="5"/>
    <col min="3564" max="3564" width="21.625" style="5" bestFit="1" customWidth="1"/>
    <col min="3565" max="3567" width="8.75" style="5"/>
    <col min="3568" max="3568" width="15.125" style="5" bestFit="1" customWidth="1"/>
    <col min="3569" max="3570" width="8.75" style="5"/>
    <col min="3571" max="3571" width="25.875" style="5" bestFit="1" customWidth="1"/>
    <col min="3572" max="3574" width="8.75" style="5"/>
    <col min="3575" max="3575" width="19.125" style="5" bestFit="1" customWidth="1"/>
    <col min="3576" max="3576" width="18.75" style="5" bestFit="1" customWidth="1"/>
    <col min="3577" max="3577" width="18.25" style="5" customWidth="1"/>
    <col min="3578" max="3578" width="20.625" style="5" bestFit="1" customWidth="1"/>
    <col min="3579" max="3579" width="14.625" style="5" bestFit="1" customWidth="1"/>
    <col min="3580" max="3580" width="16.125" style="5" bestFit="1" customWidth="1"/>
    <col min="3581" max="3581" width="15.125" style="5" bestFit="1" customWidth="1"/>
    <col min="3582" max="3807" width="8.75" style="5"/>
    <col min="3808" max="3808" width="41.25" style="5" bestFit="1" customWidth="1"/>
    <col min="3809" max="3809" width="15.125" style="5" bestFit="1" customWidth="1"/>
    <col min="3810" max="3819" width="8.75" style="5"/>
    <col min="3820" max="3820" width="21.625" style="5" bestFit="1" customWidth="1"/>
    <col min="3821" max="3823" width="8.75" style="5"/>
    <col min="3824" max="3824" width="15.125" style="5" bestFit="1" customWidth="1"/>
    <col min="3825" max="3826" width="8.75" style="5"/>
    <col min="3827" max="3827" width="25.875" style="5" bestFit="1" customWidth="1"/>
    <col min="3828" max="3830" width="8.75" style="5"/>
    <col min="3831" max="3831" width="19.125" style="5" bestFit="1" customWidth="1"/>
    <col min="3832" max="3832" width="18.75" style="5" bestFit="1" customWidth="1"/>
    <col min="3833" max="3833" width="18.25" style="5" customWidth="1"/>
    <col min="3834" max="3834" width="20.625" style="5" bestFit="1" customWidth="1"/>
    <col min="3835" max="3835" width="14.625" style="5" bestFit="1" customWidth="1"/>
    <col min="3836" max="3836" width="16.125" style="5" bestFit="1" customWidth="1"/>
    <col min="3837" max="3837" width="15.125" style="5" bestFit="1" customWidth="1"/>
    <col min="3838" max="4063" width="8.75" style="5"/>
    <col min="4064" max="4064" width="41.25" style="5" bestFit="1" customWidth="1"/>
    <col min="4065" max="4065" width="15.125" style="5" bestFit="1" customWidth="1"/>
    <col min="4066" max="4075" width="8.75" style="5"/>
    <col min="4076" max="4076" width="21.625" style="5" bestFit="1" customWidth="1"/>
    <col min="4077" max="4079" width="8.75" style="5"/>
    <col min="4080" max="4080" width="15.125" style="5" bestFit="1" customWidth="1"/>
    <col min="4081" max="4082" width="8.75" style="5"/>
    <col min="4083" max="4083" width="25.875" style="5" bestFit="1" customWidth="1"/>
    <col min="4084" max="4086" width="8.75" style="5"/>
    <col min="4087" max="4087" width="19.125" style="5" bestFit="1" customWidth="1"/>
    <col min="4088" max="4088" width="18.75" style="5" bestFit="1" customWidth="1"/>
    <col min="4089" max="4089" width="18.25" style="5" customWidth="1"/>
    <col min="4090" max="4090" width="20.625" style="5" bestFit="1" customWidth="1"/>
    <col min="4091" max="4091" width="14.625" style="5" bestFit="1" customWidth="1"/>
    <col min="4092" max="4092" width="16.125" style="5" bestFit="1" customWidth="1"/>
    <col min="4093" max="4093" width="15.125" style="5" bestFit="1" customWidth="1"/>
    <col min="4094" max="4319" width="8.75" style="5"/>
    <col min="4320" max="4320" width="41.25" style="5" bestFit="1" customWidth="1"/>
    <col min="4321" max="4321" width="15.125" style="5" bestFit="1" customWidth="1"/>
    <col min="4322" max="4331" width="8.75" style="5"/>
    <col min="4332" max="4332" width="21.625" style="5" bestFit="1" customWidth="1"/>
    <col min="4333" max="4335" width="8.75" style="5"/>
    <col min="4336" max="4336" width="15.125" style="5" bestFit="1" customWidth="1"/>
    <col min="4337" max="4338" width="8.75" style="5"/>
    <col min="4339" max="4339" width="25.875" style="5" bestFit="1" customWidth="1"/>
    <col min="4340" max="4342" width="8.75" style="5"/>
    <col min="4343" max="4343" width="19.125" style="5" bestFit="1" customWidth="1"/>
    <col min="4344" max="4344" width="18.75" style="5" bestFit="1" customWidth="1"/>
    <col min="4345" max="4345" width="18.25" style="5" customWidth="1"/>
    <col min="4346" max="4346" width="20.625" style="5" bestFit="1" customWidth="1"/>
    <col min="4347" max="4347" width="14.625" style="5" bestFit="1" customWidth="1"/>
    <col min="4348" max="4348" width="16.125" style="5" bestFit="1" customWidth="1"/>
    <col min="4349" max="4349" width="15.125" style="5" bestFit="1" customWidth="1"/>
    <col min="4350" max="4575" width="8.75" style="5"/>
    <col min="4576" max="4576" width="41.25" style="5" bestFit="1" customWidth="1"/>
    <col min="4577" max="4577" width="15.125" style="5" bestFit="1" customWidth="1"/>
    <col min="4578" max="4587" width="8.75" style="5"/>
    <col min="4588" max="4588" width="21.625" style="5" bestFit="1" customWidth="1"/>
    <col min="4589" max="4591" width="8.75" style="5"/>
    <col min="4592" max="4592" width="15.125" style="5" bestFit="1" customWidth="1"/>
    <col min="4593" max="4594" width="8.75" style="5"/>
    <col min="4595" max="4595" width="25.875" style="5" bestFit="1" customWidth="1"/>
    <col min="4596" max="4598" width="8.75" style="5"/>
    <col min="4599" max="4599" width="19.125" style="5" bestFit="1" customWidth="1"/>
    <col min="4600" max="4600" width="18.75" style="5" bestFit="1" customWidth="1"/>
    <col min="4601" max="4601" width="18.25" style="5" customWidth="1"/>
    <col min="4602" max="4602" width="20.625" style="5" bestFit="1" customWidth="1"/>
    <col min="4603" max="4603" width="14.625" style="5" bestFit="1" customWidth="1"/>
    <col min="4604" max="4604" width="16.125" style="5" bestFit="1" customWidth="1"/>
    <col min="4605" max="4605" width="15.125" style="5" bestFit="1" customWidth="1"/>
    <col min="4606" max="4831" width="8.75" style="5"/>
    <col min="4832" max="4832" width="41.25" style="5" bestFit="1" customWidth="1"/>
    <col min="4833" max="4833" width="15.125" style="5" bestFit="1" customWidth="1"/>
    <col min="4834" max="4843" width="8.75" style="5"/>
    <col min="4844" max="4844" width="21.625" style="5" bestFit="1" customWidth="1"/>
    <col min="4845" max="4847" width="8.75" style="5"/>
    <col min="4848" max="4848" width="15.125" style="5" bestFit="1" customWidth="1"/>
    <col min="4849" max="4850" width="8.75" style="5"/>
    <col min="4851" max="4851" width="25.875" style="5" bestFit="1" customWidth="1"/>
    <col min="4852" max="4854" width="8.75" style="5"/>
    <col min="4855" max="4855" width="19.125" style="5" bestFit="1" customWidth="1"/>
    <col min="4856" max="4856" width="18.75" style="5" bestFit="1" customWidth="1"/>
    <col min="4857" max="4857" width="18.25" style="5" customWidth="1"/>
    <col min="4858" max="4858" width="20.625" style="5" bestFit="1" customWidth="1"/>
    <col min="4859" max="4859" width="14.625" style="5" bestFit="1" customWidth="1"/>
    <col min="4860" max="4860" width="16.125" style="5" bestFit="1" customWidth="1"/>
    <col min="4861" max="4861" width="15.125" style="5" bestFit="1" customWidth="1"/>
    <col min="4862" max="5087" width="8.75" style="5"/>
    <col min="5088" max="5088" width="41.25" style="5" bestFit="1" customWidth="1"/>
    <col min="5089" max="5089" width="15.125" style="5" bestFit="1" customWidth="1"/>
    <col min="5090" max="5099" width="8.75" style="5"/>
    <col min="5100" max="5100" width="21.625" style="5" bestFit="1" customWidth="1"/>
    <col min="5101" max="5103" width="8.75" style="5"/>
    <col min="5104" max="5104" width="15.125" style="5" bestFit="1" customWidth="1"/>
    <col min="5105" max="5106" width="8.75" style="5"/>
    <col min="5107" max="5107" width="25.875" style="5" bestFit="1" customWidth="1"/>
    <col min="5108" max="5110" width="8.75" style="5"/>
    <col min="5111" max="5111" width="19.125" style="5" bestFit="1" customWidth="1"/>
    <col min="5112" max="5112" width="18.75" style="5" bestFit="1" customWidth="1"/>
    <col min="5113" max="5113" width="18.25" style="5" customWidth="1"/>
    <col min="5114" max="5114" width="20.625" style="5" bestFit="1" customWidth="1"/>
    <col min="5115" max="5115" width="14.625" style="5" bestFit="1" customWidth="1"/>
    <col min="5116" max="5116" width="16.125" style="5" bestFit="1" customWidth="1"/>
    <col min="5117" max="5117" width="15.125" style="5" bestFit="1" customWidth="1"/>
    <col min="5118" max="5343" width="8.75" style="5"/>
    <col min="5344" max="5344" width="41.25" style="5" bestFit="1" customWidth="1"/>
    <col min="5345" max="5345" width="15.125" style="5" bestFit="1" customWidth="1"/>
    <col min="5346" max="5355" width="8.75" style="5"/>
    <col min="5356" max="5356" width="21.625" style="5" bestFit="1" customWidth="1"/>
    <col min="5357" max="5359" width="8.75" style="5"/>
    <col min="5360" max="5360" width="15.125" style="5" bestFit="1" customWidth="1"/>
    <col min="5361" max="5362" width="8.75" style="5"/>
    <col min="5363" max="5363" width="25.875" style="5" bestFit="1" customWidth="1"/>
    <col min="5364" max="5366" width="8.75" style="5"/>
    <col min="5367" max="5367" width="19.125" style="5" bestFit="1" customWidth="1"/>
    <col min="5368" max="5368" width="18.75" style="5" bestFit="1" customWidth="1"/>
    <col min="5369" max="5369" width="18.25" style="5" customWidth="1"/>
    <col min="5370" max="5370" width="20.625" style="5" bestFit="1" customWidth="1"/>
    <col min="5371" max="5371" width="14.625" style="5" bestFit="1" customWidth="1"/>
    <col min="5372" max="5372" width="16.125" style="5" bestFit="1" customWidth="1"/>
    <col min="5373" max="5373" width="15.125" style="5" bestFit="1" customWidth="1"/>
    <col min="5374" max="5599" width="8.75" style="5"/>
    <col min="5600" max="5600" width="41.25" style="5" bestFit="1" customWidth="1"/>
    <col min="5601" max="5601" width="15.125" style="5" bestFit="1" customWidth="1"/>
    <col min="5602" max="5611" width="8.75" style="5"/>
    <col min="5612" max="5612" width="21.625" style="5" bestFit="1" customWidth="1"/>
    <col min="5613" max="5615" width="8.75" style="5"/>
    <col min="5616" max="5616" width="15.125" style="5" bestFit="1" customWidth="1"/>
    <col min="5617" max="5618" width="8.75" style="5"/>
    <col min="5619" max="5619" width="25.875" style="5" bestFit="1" customWidth="1"/>
    <col min="5620" max="5622" width="8.75" style="5"/>
    <col min="5623" max="5623" width="19.125" style="5" bestFit="1" customWidth="1"/>
    <col min="5624" max="5624" width="18.75" style="5" bestFit="1" customWidth="1"/>
    <col min="5625" max="5625" width="18.25" style="5" customWidth="1"/>
    <col min="5626" max="5626" width="20.625" style="5" bestFit="1" customWidth="1"/>
    <col min="5627" max="5627" width="14.625" style="5" bestFit="1" customWidth="1"/>
    <col min="5628" max="5628" width="16.125" style="5" bestFit="1" customWidth="1"/>
    <col min="5629" max="5629" width="15.125" style="5" bestFit="1" customWidth="1"/>
    <col min="5630" max="5855" width="8.75" style="5"/>
    <col min="5856" max="5856" width="41.25" style="5" bestFit="1" customWidth="1"/>
    <col min="5857" max="5857" width="15.125" style="5" bestFit="1" customWidth="1"/>
    <col min="5858" max="5867" width="8.75" style="5"/>
    <col min="5868" max="5868" width="21.625" style="5" bestFit="1" customWidth="1"/>
    <col min="5869" max="5871" width="8.75" style="5"/>
    <col min="5872" max="5872" width="15.125" style="5" bestFit="1" customWidth="1"/>
    <col min="5873" max="5874" width="8.75" style="5"/>
    <col min="5875" max="5875" width="25.875" style="5" bestFit="1" customWidth="1"/>
    <col min="5876" max="5878" width="8.75" style="5"/>
    <col min="5879" max="5879" width="19.125" style="5" bestFit="1" customWidth="1"/>
    <col min="5880" max="5880" width="18.75" style="5" bestFit="1" customWidth="1"/>
    <col min="5881" max="5881" width="18.25" style="5" customWidth="1"/>
    <col min="5882" max="5882" width="20.625" style="5" bestFit="1" customWidth="1"/>
    <col min="5883" max="5883" width="14.625" style="5" bestFit="1" customWidth="1"/>
    <col min="5884" max="5884" width="16.125" style="5" bestFit="1" customWidth="1"/>
    <col min="5885" max="5885" width="15.125" style="5" bestFit="1" customWidth="1"/>
    <col min="5886" max="6111" width="8.75" style="5"/>
    <col min="6112" max="6112" width="41.25" style="5" bestFit="1" customWidth="1"/>
    <col min="6113" max="6113" width="15.125" style="5" bestFit="1" customWidth="1"/>
    <col min="6114" max="6123" width="8.75" style="5"/>
    <col min="6124" max="6124" width="21.625" style="5" bestFit="1" customWidth="1"/>
    <col min="6125" max="6127" width="8.75" style="5"/>
    <col min="6128" max="6128" width="15.125" style="5" bestFit="1" customWidth="1"/>
    <col min="6129" max="6130" width="8.75" style="5"/>
    <col min="6131" max="6131" width="25.875" style="5" bestFit="1" customWidth="1"/>
    <col min="6132" max="6134" width="8.75" style="5"/>
    <col min="6135" max="6135" width="19.125" style="5" bestFit="1" customWidth="1"/>
    <col min="6136" max="6136" width="18.75" style="5" bestFit="1" customWidth="1"/>
    <col min="6137" max="6137" width="18.25" style="5" customWidth="1"/>
    <col min="6138" max="6138" width="20.625" style="5" bestFit="1" customWidth="1"/>
    <col min="6139" max="6139" width="14.625" style="5" bestFit="1" customWidth="1"/>
    <col min="6140" max="6140" width="16.125" style="5" bestFit="1" customWidth="1"/>
    <col min="6141" max="6141" width="15.125" style="5" bestFit="1" customWidth="1"/>
    <col min="6142" max="6367" width="8.75" style="5"/>
    <col min="6368" max="6368" width="41.25" style="5" bestFit="1" customWidth="1"/>
    <col min="6369" max="6369" width="15.125" style="5" bestFit="1" customWidth="1"/>
    <col min="6370" max="6379" width="8.75" style="5"/>
    <col min="6380" max="6380" width="21.625" style="5" bestFit="1" customWidth="1"/>
    <col min="6381" max="6383" width="8.75" style="5"/>
    <col min="6384" max="6384" width="15.125" style="5" bestFit="1" customWidth="1"/>
    <col min="6385" max="6386" width="8.75" style="5"/>
    <col min="6387" max="6387" width="25.875" style="5" bestFit="1" customWidth="1"/>
    <col min="6388" max="6390" width="8.75" style="5"/>
    <col min="6391" max="6391" width="19.125" style="5" bestFit="1" customWidth="1"/>
    <col min="6392" max="6392" width="18.75" style="5" bestFit="1" customWidth="1"/>
    <col min="6393" max="6393" width="18.25" style="5" customWidth="1"/>
    <col min="6394" max="6394" width="20.625" style="5" bestFit="1" customWidth="1"/>
    <col min="6395" max="6395" width="14.625" style="5" bestFit="1" customWidth="1"/>
    <col min="6396" max="6396" width="16.125" style="5" bestFit="1" customWidth="1"/>
    <col min="6397" max="6397" width="15.125" style="5" bestFit="1" customWidth="1"/>
    <col min="6398" max="6623" width="8.75" style="5"/>
    <col min="6624" max="6624" width="41.25" style="5" bestFit="1" customWidth="1"/>
    <col min="6625" max="6625" width="15.125" style="5" bestFit="1" customWidth="1"/>
    <col min="6626" max="6635" width="8.75" style="5"/>
    <col min="6636" max="6636" width="21.625" style="5" bestFit="1" customWidth="1"/>
    <col min="6637" max="6639" width="8.75" style="5"/>
    <col min="6640" max="6640" width="15.125" style="5" bestFit="1" customWidth="1"/>
    <col min="6641" max="6642" width="8.75" style="5"/>
    <col min="6643" max="6643" width="25.875" style="5" bestFit="1" customWidth="1"/>
    <col min="6644" max="6646" width="8.75" style="5"/>
    <col min="6647" max="6647" width="19.125" style="5" bestFit="1" customWidth="1"/>
    <col min="6648" max="6648" width="18.75" style="5" bestFit="1" customWidth="1"/>
    <col min="6649" max="6649" width="18.25" style="5" customWidth="1"/>
    <col min="6650" max="6650" width="20.625" style="5" bestFit="1" customWidth="1"/>
    <col min="6651" max="6651" width="14.625" style="5" bestFit="1" customWidth="1"/>
    <col min="6652" max="6652" width="16.125" style="5" bestFit="1" customWidth="1"/>
    <col min="6653" max="6653" width="15.125" style="5" bestFit="1" customWidth="1"/>
    <col min="6654" max="6879" width="8.75" style="5"/>
    <col min="6880" max="6880" width="41.25" style="5" bestFit="1" customWidth="1"/>
    <col min="6881" max="6881" width="15.125" style="5" bestFit="1" customWidth="1"/>
    <col min="6882" max="6891" width="8.75" style="5"/>
    <col min="6892" max="6892" width="21.625" style="5" bestFit="1" customWidth="1"/>
    <col min="6893" max="6895" width="8.75" style="5"/>
    <col min="6896" max="6896" width="15.125" style="5" bestFit="1" customWidth="1"/>
    <col min="6897" max="6898" width="8.75" style="5"/>
    <col min="6899" max="6899" width="25.875" style="5" bestFit="1" customWidth="1"/>
    <col min="6900" max="6902" width="8.75" style="5"/>
    <col min="6903" max="6903" width="19.125" style="5" bestFit="1" customWidth="1"/>
    <col min="6904" max="6904" width="18.75" style="5" bestFit="1" customWidth="1"/>
    <col min="6905" max="6905" width="18.25" style="5" customWidth="1"/>
    <col min="6906" max="6906" width="20.625" style="5" bestFit="1" customWidth="1"/>
    <col min="6907" max="6907" width="14.625" style="5" bestFit="1" customWidth="1"/>
    <col min="6908" max="6908" width="16.125" style="5" bestFit="1" customWidth="1"/>
    <col min="6909" max="6909" width="15.125" style="5" bestFit="1" customWidth="1"/>
    <col min="6910" max="7135" width="8.75" style="5"/>
    <col min="7136" max="7136" width="41.25" style="5" bestFit="1" customWidth="1"/>
    <col min="7137" max="7137" width="15.125" style="5" bestFit="1" customWidth="1"/>
    <col min="7138" max="7147" width="8.75" style="5"/>
    <col min="7148" max="7148" width="21.625" style="5" bestFit="1" customWidth="1"/>
    <col min="7149" max="7151" width="8.75" style="5"/>
    <col min="7152" max="7152" width="15.125" style="5" bestFit="1" customWidth="1"/>
    <col min="7153" max="7154" width="8.75" style="5"/>
    <col min="7155" max="7155" width="25.875" style="5" bestFit="1" customWidth="1"/>
    <col min="7156" max="7158" width="8.75" style="5"/>
    <col min="7159" max="7159" width="19.125" style="5" bestFit="1" customWidth="1"/>
    <col min="7160" max="7160" width="18.75" style="5" bestFit="1" customWidth="1"/>
    <col min="7161" max="7161" width="18.25" style="5" customWidth="1"/>
    <col min="7162" max="7162" width="20.625" style="5" bestFit="1" customWidth="1"/>
    <col min="7163" max="7163" width="14.625" style="5" bestFit="1" customWidth="1"/>
    <col min="7164" max="7164" width="16.125" style="5" bestFit="1" customWidth="1"/>
    <col min="7165" max="7165" width="15.125" style="5" bestFit="1" customWidth="1"/>
    <col min="7166" max="7391" width="8.75" style="5"/>
    <col min="7392" max="7392" width="41.25" style="5" bestFit="1" customWidth="1"/>
    <col min="7393" max="7393" width="15.125" style="5" bestFit="1" customWidth="1"/>
    <col min="7394" max="7403" width="8.75" style="5"/>
    <col min="7404" max="7404" width="21.625" style="5" bestFit="1" customWidth="1"/>
    <col min="7405" max="7407" width="8.75" style="5"/>
    <col min="7408" max="7408" width="15.125" style="5" bestFit="1" customWidth="1"/>
    <col min="7409" max="7410" width="8.75" style="5"/>
    <col min="7411" max="7411" width="25.875" style="5" bestFit="1" customWidth="1"/>
    <col min="7412" max="7414" width="8.75" style="5"/>
    <col min="7415" max="7415" width="19.125" style="5" bestFit="1" customWidth="1"/>
    <col min="7416" max="7416" width="18.75" style="5" bestFit="1" customWidth="1"/>
    <col min="7417" max="7417" width="18.25" style="5" customWidth="1"/>
    <col min="7418" max="7418" width="20.625" style="5" bestFit="1" customWidth="1"/>
    <col min="7419" max="7419" width="14.625" style="5" bestFit="1" customWidth="1"/>
    <col min="7420" max="7420" width="16.125" style="5" bestFit="1" customWidth="1"/>
    <col min="7421" max="7421" width="15.125" style="5" bestFit="1" customWidth="1"/>
    <col min="7422" max="7647" width="8.75" style="5"/>
    <col min="7648" max="7648" width="41.25" style="5" bestFit="1" customWidth="1"/>
    <col min="7649" max="7649" width="15.125" style="5" bestFit="1" customWidth="1"/>
    <col min="7650" max="7659" width="8.75" style="5"/>
    <col min="7660" max="7660" width="21.625" style="5" bestFit="1" customWidth="1"/>
    <col min="7661" max="7663" width="8.75" style="5"/>
    <col min="7664" max="7664" width="15.125" style="5" bestFit="1" customWidth="1"/>
    <col min="7665" max="7666" width="8.75" style="5"/>
    <col min="7667" max="7667" width="25.875" style="5" bestFit="1" customWidth="1"/>
    <col min="7668" max="7670" width="8.75" style="5"/>
    <col min="7671" max="7671" width="19.125" style="5" bestFit="1" customWidth="1"/>
    <col min="7672" max="7672" width="18.75" style="5" bestFit="1" customWidth="1"/>
    <col min="7673" max="7673" width="18.25" style="5" customWidth="1"/>
    <col min="7674" max="7674" width="20.625" style="5" bestFit="1" customWidth="1"/>
    <col min="7675" max="7675" width="14.625" style="5" bestFit="1" customWidth="1"/>
    <col min="7676" max="7676" width="16.125" style="5" bestFit="1" customWidth="1"/>
    <col min="7677" max="7677" width="15.125" style="5" bestFit="1" customWidth="1"/>
    <col min="7678" max="7903" width="8.75" style="5"/>
    <col min="7904" max="7904" width="41.25" style="5" bestFit="1" customWidth="1"/>
    <col min="7905" max="7905" width="15.125" style="5" bestFit="1" customWidth="1"/>
    <col min="7906" max="7915" width="8.75" style="5"/>
    <col min="7916" max="7916" width="21.625" style="5" bestFit="1" customWidth="1"/>
    <col min="7917" max="7919" width="8.75" style="5"/>
    <col min="7920" max="7920" width="15.125" style="5" bestFit="1" customWidth="1"/>
    <col min="7921" max="7922" width="8.75" style="5"/>
    <col min="7923" max="7923" width="25.875" style="5" bestFit="1" customWidth="1"/>
    <col min="7924" max="7926" width="8.75" style="5"/>
    <col min="7927" max="7927" width="19.125" style="5" bestFit="1" customWidth="1"/>
    <col min="7928" max="7928" width="18.75" style="5" bestFit="1" customWidth="1"/>
    <col min="7929" max="7929" width="18.25" style="5" customWidth="1"/>
    <col min="7930" max="7930" width="20.625" style="5" bestFit="1" customWidth="1"/>
    <col min="7931" max="7931" width="14.625" style="5" bestFit="1" customWidth="1"/>
    <col min="7932" max="7932" width="16.125" style="5" bestFit="1" customWidth="1"/>
    <col min="7933" max="7933" width="15.125" style="5" bestFit="1" customWidth="1"/>
    <col min="7934" max="8159" width="8.75" style="5"/>
    <col min="8160" max="8160" width="41.25" style="5" bestFit="1" customWidth="1"/>
    <col min="8161" max="8161" width="15.125" style="5" bestFit="1" customWidth="1"/>
    <col min="8162" max="8171" width="8.75" style="5"/>
    <col min="8172" max="8172" width="21.625" style="5" bestFit="1" customWidth="1"/>
    <col min="8173" max="8175" width="8.75" style="5"/>
    <col min="8176" max="8176" width="15.125" style="5" bestFit="1" customWidth="1"/>
    <col min="8177" max="8178" width="8.75" style="5"/>
    <col min="8179" max="8179" width="25.875" style="5" bestFit="1" customWidth="1"/>
    <col min="8180" max="8182" width="8.75" style="5"/>
    <col min="8183" max="8183" width="19.125" style="5" bestFit="1" customWidth="1"/>
    <col min="8184" max="8184" width="18.75" style="5" bestFit="1" customWidth="1"/>
    <col min="8185" max="8185" width="18.25" style="5" customWidth="1"/>
    <col min="8186" max="8186" width="20.625" style="5" bestFit="1" customWidth="1"/>
    <col min="8187" max="8187" width="14.625" style="5" bestFit="1" customWidth="1"/>
    <col min="8188" max="8188" width="16.125" style="5" bestFit="1" customWidth="1"/>
    <col min="8189" max="8189" width="15.125" style="5" bestFit="1" customWidth="1"/>
    <col min="8190" max="8415" width="8.75" style="5"/>
    <col min="8416" max="8416" width="41.25" style="5" bestFit="1" customWidth="1"/>
    <col min="8417" max="8417" width="15.125" style="5" bestFit="1" customWidth="1"/>
    <col min="8418" max="8427" width="8.75" style="5"/>
    <col min="8428" max="8428" width="21.625" style="5" bestFit="1" customWidth="1"/>
    <col min="8429" max="8431" width="8.75" style="5"/>
    <col min="8432" max="8432" width="15.125" style="5" bestFit="1" customWidth="1"/>
    <col min="8433" max="8434" width="8.75" style="5"/>
    <col min="8435" max="8435" width="25.875" style="5" bestFit="1" customWidth="1"/>
    <col min="8436" max="8438" width="8.75" style="5"/>
    <col min="8439" max="8439" width="19.125" style="5" bestFit="1" customWidth="1"/>
    <col min="8440" max="8440" width="18.75" style="5" bestFit="1" customWidth="1"/>
    <col min="8441" max="8441" width="18.25" style="5" customWidth="1"/>
    <col min="8442" max="8442" width="20.625" style="5" bestFit="1" customWidth="1"/>
    <col min="8443" max="8443" width="14.625" style="5" bestFit="1" customWidth="1"/>
    <col min="8444" max="8444" width="16.125" style="5" bestFit="1" customWidth="1"/>
    <col min="8445" max="8445" width="15.125" style="5" bestFit="1" customWidth="1"/>
    <col min="8446" max="8671" width="8.75" style="5"/>
    <col min="8672" max="8672" width="41.25" style="5" bestFit="1" customWidth="1"/>
    <col min="8673" max="8673" width="15.125" style="5" bestFit="1" customWidth="1"/>
    <col min="8674" max="8683" width="8.75" style="5"/>
    <col min="8684" max="8684" width="21.625" style="5" bestFit="1" customWidth="1"/>
    <col min="8685" max="8687" width="8.75" style="5"/>
    <col min="8688" max="8688" width="15.125" style="5" bestFit="1" customWidth="1"/>
    <col min="8689" max="8690" width="8.75" style="5"/>
    <col min="8691" max="8691" width="25.875" style="5" bestFit="1" customWidth="1"/>
    <col min="8692" max="8694" width="8.75" style="5"/>
    <col min="8695" max="8695" width="19.125" style="5" bestFit="1" customWidth="1"/>
    <col min="8696" max="8696" width="18.75" style="5" bestFit="1" customWidth="1"/>
    <col min="8697" max="8697" width="18.25" style="5" customWidth="1"/>
    <col min="8698" max="8698" width="20.625" style="5" bestFit="1" customWidth="1"/>
    <col min="8699" max="8699" width="14.625" style="5" bestFit="1" customWidth="1"/>
    <col min="8700" max="8700" width="16.125" style="5" bestFit="1" customWidth="1"/>
    <col min="8701" max="8701" width="15.125" style="5" bestFit="1" customWidth="1"/>
    <col min="8702" max="8927" width="8.75" style="5"/>
    <col min="8928" max="8928" width="41.25" style="5" bestFit="1" customWidth="1"/>
    <col min="8929" max="8929" width="15.125" style="5" bestFit="1" customWidth="1"/>
    <col min="8930" max="8939" width="8.75" style="5"/>
    <col min="8940" max="8940" width="21.625" style="5" bestFit="1" customWidth="1"/>
    <col min="8941" max="8943" width="8.75" style="5"/>
    <col min="8944" max="8944" width="15.125" style="5" bestFit="1" customWidth="1"/>
    <col min="8945" max="8946" width="8.75" style="5"/>
    <col min="8947" max="8947" width="25.875" style="5" bestFit="1" customWidth="1"/>
    <col min="8948" max="8950" width="8.75" style="5"/>
    <col min="8951" max="8951" width="19.125" style="5" bestFit="1" customWidth="1"/>
    <col min="8952" max="8952" width="18.75" style="5" bestFit="1" customWidth="1"/>
    <col min="8953" max="8953" width="18.25" style="5" customWidth="1"/>
    <col min="8954" max="8954" width="20.625" style="5" bestFit="1" customWidth="1"/>
    <col min="8955" max="8955" width="14.625" style="5" bestFit="1" customWidth="1"/>
    <col min="8956" max="8956" width="16.125" style="5" bestFit="1" customWidth="1"/>
    <col min="8957" max="8957" width="15.125" style="5" bestFit="1" customWidth="1"/>
    <col min="8958" max="9183" width="8.75" style="5"/>
    <col min="9184" max="9184" width="41.25" style="5" bestFit="1" customWidth="1"/>
    <col min="9185" max="9185" width="15.125" style="5" bestFit="1" customWidth="1"/>
    <col min="9186" max="9195" width="8.75" style="5"/>
    <col min="9196" max="9196" width="21.625" style="5" bestFit="1" customWidth="1"/>
    <col min="9197" max="9199" width="8.75" style="5"/>
    <col min="9200" max="9200" width="15.125" style="5" bestFit="1" customWidth="1"/>
    <col min="9201" max="9202" width="8.75" style="5"/>
    <col min="9203" max="9203" width="25.875" style="5" bestFit="1" customWidth="1"/>
    <col min="9204" max="9206" width="8.75" style="5"/>
    <col min="9207" max="9207" width="19.125" style="5" bestFit="1" customWidth="1"/>
    <col min="9208" max="9208" width="18.75" style="5" bestFit="1" customWidth="1"/>
    <col min="9209" max="9209" width="18.25" style="5" customWidth="1"/>
    <col min="9210" max="9210" width="20.625" style="5" bestFit="1" customWidth="1"/>
    <col min="9211" max="9211" width="14.625" style="5" bestFit="1" customWidth="1"/>
    <col min="9212" max="9212" width="16.125" style="5" bestFit="1" customWidth="1"/>
    <col min="9213" max="9213" width="15.125" style="5" bestFit="1" customWidth="1"/>
    <col min="9214" max="9439" width="8.75" style="5"/>
    <col min="9440" max="9440" width="41.25" style="5" bestFit="1" customWidth="1"/>
    <col min="9441" max="9441" width="15.125" style="5" bestFit="1" customWidth="1"/>
    <col min="9442" max="9451" width="8.75" style="5"/>
    <col min="9452" max="9452" width="21.625" style="5" bestFit="1" customWidth="1"/>
    <col min="9453" max="9455" width="8.75" style="5"/>
    <col min="9456" max="9456" width="15.125" style="5" bestFit="1" customWidth="1"/>
    <col min="9457" max="9458" width="8.75" style="5"/>
    <col min="9459" max="9459" width="25.875" style="5" bestFit="1" customWidth="1"/>
    <col min="9460" max="9462" width="8.75" style="5"/>
    <col min="9463" max="9463" width="19.125" style="5" bestFit="1" customWidth="1"/>
    <col min="9464" max="9464" width="18.75" style="5" bestFit="1" customWidth="1"/>
    <col min="9465" max="9465" width="18.25" style="5" customWidth="1"/>
    <col min="9466" max="9466" width="20.625" style="5" bestFit="1" customWidth="1"/>
    <col min="9467" max="9467" width="14.625" style="5" bestFit="1" customWidth="1"/>
    <col min="9468" max="9468" width="16.125" style="5" bestFit="1" customWidth="1"/>
    <col min="9469" max="9469" width="15.125" style="5" bestFit="1" customWidth="1"/>
    <col min="9470" max="9695" width="8.75" style="5"/>
    <col min="9696" max="9696" width="41.25" style="5" bestFit="1" customWidth="1"/>
    <col min="9697" max="9697" width="15.125" style="5" bestFit="1" customWidth="1"/>
    <col min="9698" max="9707" width="8.75" style="5"/>
    <col min="9708" max="9708" width="21.625" style="5" bestFit="1" customWidth="1"/>
    <col min="9709" max="9711" width="8.75" style="5"/>
    <col min="9712" max="9712" width="15.125" style="5" bestFit="1" customWidth="1"/>
    <col min="9713" max="9714" width="8.75" style="5"/>
    <col min="9715" max="9715" width="25.875" style="5" bestFit="1" customWidth="1"/>
    <col min="9716" max="9718" width="8.75" style="5"/>
    <col min="9719" max="9719" width="19.125" style="5" bestFit="1" customWidth="1"/>
    <col min="9720" max="9720" width="18.75" style="5" bestFit="1" customWidth="1"/>
    <col min="9721" max="9721" width="18.25" style="5" customWidth="1"/>
    <col min="9722" max="9722" width="20.625" style="5" bestFit="1" customWidth="1"/>
    <col min="9723" max="9723" width="14.625" style="5" bestFit="1" customWidth="1"/>
    <col min="9724" max="9724" width="16.125" style="5" bestFit="1" customWidth="1"/>
    <col min="9725" max="9725" width="15.125" style="5" bestFit="1" customWidth="1"/>
    <col min="9726" max="9951" width="8.75" style="5"/>
    <col min="9952" max="9952" width="41.25" style="5" bestFit="1" customWidth="1"/>
    <col min="9953" max="9953" width="15.125" style="5" bestFit="1" customWidth="1"/>
    <col min="9954" max="9963" width="8.75" style="5"/>
    <col min="9964" max="9964" width="21.625" style="5" bestFit="1" customWidth="1"/>
    <col min="9965" max="9967" width="8.75" style="5"/>
    <col min="9968" max="9968" width="15.125" style="5" bestFit="1" customWidth="1"/>
    <col min="9969" max="9970" width="8.75" style="5"/>
    <col min="9971" max="9971" width="25.875" style="5" bestFit="1" customWidth="1"/>
    <col min="9972" max="9974" width="8.75" style="5"/>
    <col min="9975" max="9975" width="19.125" style="5" bestFit="1" customWidth="1"/>
    <col min="9976" max="9976" width="18.75" style="5" bestFit="1" customWidth="1"/>
    <col min="9977" max="9977" width="18.25" style="5" customWidth="1"/>
    <col min="9978" max="9978" width="20.625" style="5" bestFit="1" customWidth="1"/>
    <col min="9979" max="9979" width="14.625" style="5" bestFit="1" customWidth="1"/>
    <col min="9980" max="9980" width="16.125" style="5" bestFit="1" customWidth="1"/>
    <col min="9981" max="9981" width="15.125" style="5" bestFit="1" customWidth="1"/>
    <col min="9982" max="10207" width="8.75" style="5"/>
    <col min="10208" max="10208" width="41.25" style="5" bestFit="1" customWidth="1"/>
    <col min="10209" max="10209" width="15.125" style="5" bestFit="1" customWidth="1"/>
    <col min="10210" max="10219" width="8.75" style="5"/>
    <col min="10220" max="10220" width="21.625" style="5" bestFit="1" customWidth="1"/>
    <col min="10221" max="10223" width="8.75" style="5"/>
    <col min="10224" max="10224" width="15.125" style="5" bestFit="1" customWidth="1"/>
    <col min="10225" max="10226" width="8.75" style="5"/>
    <col min="10227" max="10227" width="25.875" style="5" bestFit="1" customWidth="1"/>
    <col min="10228" max="10230" width="8.75" style="5"/>
    <col min="10231" max="10231" width="19.125" style="5" bestFit="1" customWidth="1"/>
    <col min="10232" max="10232" width="18.75" style="5" bestFit="1" customWidth="1"/>
    <col min="10233" max="10233" width="18.25" style="5" customWidth="1"/>
    <col min="10234" max="10234" width="20.625" style="5" bestFit="1" customWidth="1"/>
    <col min="10235" max="10235" width="14.625" style="5" bestFit="1" customWidth="1"/>
    <col min="10236" max="10236" width="16.125" style="5" bestFit="1" customWidth="1"/>
    <col min="10237" max="10237" width="15.125" style="5" bestFit="1" customWidth="1"/>
    <col min="10238" max="10463" width="8.75" style="5"/>
    <col min="10464" max="10464" width="41.25" style="5" bestFit="1" customWidth="1"/>
    <col min="10465" max="10465" width="15.125" style="5" bestFit="1" customWidth="1"/>
    <col min="10466" max="10475" width="8.75" style="5"/>
    <col min="10476" max="10476" width="21.625" style="5" bestFit="1" customWidth="1"/>
    <col min="10477" max="10479" width="8.75" style="5"/>
    <col min="10480" max="10480" width="15.125" style="5" bestFit="1" customWidth="1"/>
    <col min="10481" max="10482" width="8.75" style="5"/>
    <col min="10483" max="10483" width="25.875" style="5" bestFit="1" customWidth="1"/>
    <col min="10484" max="10486" width="8.75" style="5"/>
    <col min="10487" max="10487" width="19.125" style="5" bestFit="1" customWidth="1"/>
    <col min="10488" max="10488" width="18.75" style="5" bestFit="1" customWidth="1"/>
    <col min="10489" max="10489" width="18.25" style="5" customWidth="1"/>
    <col min="10490" max="10490" width="20.625" style="5" bestFit="1" customWidth="1"/>
    <col min="10491" max="10491" width="14.625" style="5" bestFit="1" customWidth="1"/>
    <col min="10492" max="10492" width="16.125" style="5" bestFit="1" customWidth="1"/>
    <col min="10493" max="10493" width="15.125" style="5" bestFit="1" customWidth="1"/>
    <col min="10494" max="10719" width="8.75" style="5"/>
    <col min="10720" max="10720" width="41.25" style="5" bestFit="1" customWidth="1"/>
    <col min="10721" max="10721" width="15.125" style="5" bestFit="1" customWidth="1"/>
    <col min="10722" max="10731" width="8.75" style="5"/>
    <col min="10732" max="10732" width="21.625" style="5" bestFit="1" customWidth="1"/>
    <col min="10733" max="10735" width="8.75" style="5"/>
    <col min="10736" max="10736" width="15.125" style="5" bestFit="1" customWidth="1"/>
    <col min="10737" max="10738" width="8.75" style="5"/>
    <col min="10739" max="10739" width="25.875" style="5" bestFit="1" customWidth="1"/>
    <col min="10740" max="10742" width="8.75" style="5"/>
    <col min="10743" max="10743" width="19.125" style="5" bestFit="1" customWidth="1"/>
    <col min="10744" max="10744" width="18.75" style="5" bestFit="1" customWidth="1"/>
    <col min="10745" max="10745" width="18.25" style="5" customWidth="1"/>
    <col min="10746" max="10746" width="20.625" style="5" bestFit="1" customWidth="1"/>
    <col min="10747" max="10747" width="14.625" style="5" bestFit="1" customWidth="1"/>
    <col min="10748" max="10748" width="16.125" style="5" bestFit="1" customWidth="1"/>
    <col min="10749" max="10749" width="15.125" style="5" bestFit="1" customWidth="1"/>
    <col min="10750" max="10975" width="8.75" style="5"/>
    <col min="10976" max="10976" width="41.25" style="5" bestFit="1" customWidth="1"/>
    <col min="10977" max="10977" width="15.125" style="5" bestFit="1" customWidth="1"/>
    <col min="10978" max="10987" width="8.75" style="5"/>
    <col min="10988" max="10988" width="21.625" style="5" bestFit="1" customWidth="1"/>
    <col min="10989" max="10991" width="8.75" style="5"/>
    <col min="10992" max="10992" width="15.125" style="5" bestFit="1" customWidth="1"/>
    <col min="10993" max="10994" width="8.75" style="5"/>
    <col min="10995" max="10995" width="25.875" style="5" bestFit="1" customWidth="1"/>
    <col min="10996" max="10998" width="8.75" style="5"/>
    <col min="10999" max="10999" width="19.125" style="5" bestFit="1" customWidth="1"/>
    <col min="11000" max="11000" width="18.75" style="5" bestFit="1" customWidth="1"/>
    <col min="11001" max="11001" width="18.25" style="5" customWidth="1"/>
    <col min="11002" max="11002" width="20.625" style="5" bestFit="1" customWidth="1"/>
    <col min="11003" max="11003" width="14.625" style="5" bestFit="1" customWidth="1"/>
    <col min="11004" max="11004" width="16.125" style="5" bestFit="1" customWidth="1"/>
    <col min="11005" max="11005" width="15.125" style="5" bestFit="1" customWidth="1"/>
    <col min="11006" max="11231" width="8.75" style="5"/>
    <col min="11232" max="11232" width="41.25" style="5" bestFit="1" customWidth="1"/>
    <col min="11233" max="11233" width="15.125" style="5" bestFit="1" customWidth="1"/>
    <col min="11234" max="11243" width="8.75" style="5"/>
    <col min="11244" max="11244" width="21.625" style="5" bestFit="1" customWidth="1"/>
    <col min="11245" max="11247" width="8.75" style="5"/>
    <col min="11248" max="11248" width="15.125" style="5" bestFit="1" customWidth="1"/>
    <col min="11249" max="11250" width="8.75" style="5"/>
    <col min="11251" max="11251" width="25.875" style="5" bestFit="1" customWidth="1"/>
    <col min="11252" max="11254" width="8.75" style="5"/>
    <col min="11255" max="11255" width="19.125" style="5" bestFit="1" customWidth="1"/>
    <col min="11256" max="11256" width="18.75" style="5" bestFit="1" customWidth="1"/>
    <col min="11257" max="11257" width="18.25" style="5" customWidth="1"/>
    <col min="11258" max="11258" width="20.625" style="5" bestFit="1" customWidth="1"/>
    <col min="11259" max="11259" width="14.625" style="5" bestFit="1" customWidth="1"/>
    <col min="11260" max="11260" width="16.125" style="5" bestFit="1" customWidth="1"/>
    <col min="11261" max="11261" width="15.125" style="5" bestFit="1" customWidth="1"/>
    <col min="11262" max="11487" width="8.75" style="5"/>
    <col min="11488" max="11488" width="41.25" style="5" bestFit="1" customWidth="1"/>
    <col min="11489" max="11489" width="15.125" style="5" bestFit="1" customWidth="1"/>
    <col min="11490" max="11499" width="8.75" style="5"/>
    <col min="11500" max="11500" width="21.625" style="5" bestFit="1" customWidth="1"/>
    <col min="11501" max="11503" width="8.75" style="5"/>
    <col min="11504" max="11504" width="15.125" style="5" bestFit="1" customWidth="1"/>
    <col min="11505" max="11506" width="8.75" style="5"/>
    <col min="11507" max="11507" width="25.875" style="5" bestFit="1" customWidth="1"/>
    <col min="11508" max="11510" width="8.75" style="5"/>
    <col min="11511" max="11511" width="19.125" style="5" bestFit="1" customWidth="1"/>
    <col min="11512" max="11512" width="18.75" style="5" bestFit="1" customWidth="1"/>
    <col min="11513" max="11513" width="18.25" style="5" customWidth="1"/>
    <col min="11514" max="11514" width="20.625" style="5" bestFit="1" customWidth="1"/>
    <col min="11515" max="11515" width="14.625" style="5" bestFit="1" customWidth="1"/>
    <col min="11516" max="11516" width="16.125" style="5" bestFit="1" customWidth="1"/>
    <col min="11517" max="11517" width="15.125" style="5" bestFit="1" customWidth="1"/>
    <col min="11518" max="11743" width="8.75" style="5"/>
    <col min="11744" max="11744" width="41.25" style="5" bestFit="1" customWidth="1"/>
    <col min="11745" max="11745" width="15.125" style="5" bestFit="1" customWidth="1"/>
    <col min="11746" max="11755" width="8.75" style="5"/>
    <col min="11756" max="11756" width="21.625" style="5" bestFit="1" customWidth="1"/>
    <col min="11757" max="11759" width="8.75" style="5"/>
    <col min="11760" max="11760" width="15.125" style="5" bestFit="1" customWidth="1"/>
    <col min="11761" max="11762" width="8.75" style="5"/>
    <col min="11763" max="11763" width="25.875" style="5" bestFit="1" customWidth="1"/>
    <col min="11764" max="11766" width="8.75" style="5"/>
    <col min="11767" max="11767" width="19.125" style="5" bestFit="1" customWidth="1"/>
    <col min="11768" max="11768" width="18.75" style="5" bestFit="1" customWidth="1"/>
    <col min="11769" max="11769" width="18.25" style="5" customWidth="1"/>
    <col min="11770" max="11770" width="20.625" style="5" bestFit="1" customWidth="1"/>
    <col min="11771" max="11771" width="14.625" style="5" bestFit="1" customWidth="1"/>
    <col min="11772" max="11772" width="16.125" style="5" bestFit="1" customWidth="1"/>
    <col min="11773" max="11773" width="15.125" style="5" bestFit="1" customWidth="1"/>
    <col min="11774" max="11999" width="8.75" style="5"/>
    <col min="12000" max="12000" width="41.25" style="5" bestFit="1" customWidth="1"/>
    <col min="12001" max="12001" width="15.125" style="5" bestFit="1" customWidth="1"/>
    <col min="12002" max="12011" width="8.75" style="5"/>
    <col min="12012" max="12012" width="21.625" style="5" bestFit="1" customWidth="1"/>
    <col min="12013" max="12015" width="8.75" style="5"/>
    <col min="12016" max="12016" width="15.125" style="5" bestFit="1" customWidth="1"/>
    <col min="12017" max="12018" width="8.75" style="5"/>
    <col min="12019" max="12019" width="25.875" style="5" bestFit="1" customWidth="1"/>
    <col min="12020" max="12022" width="8.75" style="5"/>
    <col min="12023" max="12023" width="19.125" style="5" bestFit="1" customWidth="1"/>
    <col min="12024" max="12024" width="18.75" style="5" bestFit="1" customWidth="1"/>
    <col min="12025" max="12025" width="18.25" style="5" customWidth="1"/>
    <col min="12026" max="12026" width="20.625" style="5" bestFit="1" customWidth="1"/>
    <col min="12027" max="12027" width="14.625" style="5" bestFit="1" customWidth="1"/>
    <col min="12028" max="12028" width="16.125" style="5" bestFit="1" customWidth="1"/>
    <col min="12029" max="12029" width="15.125" style="5" bestFit="1" customWidth="1"/>
    <col min="12030" max="12255" width="8.75" style="5"/>
    <col min="12256" max="12256" width="41.25" style="5" bestFit="1" customWidth="1"/>
    <col min="12257" max="12257" width="15.125" style="5" bestFit="1" customWidth="1"/>
    <col min="12258" max="12267" width="8.75" style="5"/>
    <col min="12268" max="12268" width="21.625" style="5" bestFit="1" customWidth="1"/>
    <col min="12269" max="12271" width="8.75" style="5"/>
    <col min="12272" max="12272" width="15.125" style="5" bestFit="1" customWidth="1"/>
    <col min="12273" max="12274" width="8.75" style="5"/>
    <col min="12275" max="12275" width="25.875" style="5" bestFit="1" customWidth="1"/>
    <col min="12276" max="12278" width="8.75" style="5"/>
    <col min="12279" max="12279" width="19.125" style="5" bestFit="1" customWidth="1"/>
    <col min="12280" max="12280" width="18.75" style="5" bestFit="1" customWidth="1"/>
    <col min="12281" max="12281" width="18.25" style="5" customWidth="1"/>
    <col min="12282" max="12282" width="20.625" style="5" bestFit="1" customWidth="1"/>
    <col min="12283" max="12283" width="14.625" style="5" bestFit="1" customWidth="1"/>
    <col min="12284" max="12284" width="16.125" style="5" bestFit="1" customWidth="1"/>
    <col min="12285" max="12285" width="15.125" style="5" bestFit="1" customWidth="1"/>
    <col min="12286" max="12511" width="8.75" style="5"/>
    <col min="12512" max="12512" width="41.25" style="5" bestFit="1" customWidth="1"/>
    <col min="12513" max="12513" width="15.125" style="5" bestFit="1" customWidth="1"/>
    <col min="12514" max="12523" width="8.75" style="5"/>
    <col min="12524" max="12524" width="21.625" style="5" bestFit="1" customWidth="1"/>
    <col min="12525" max="12527" width="8.75" style="5"/>
    <col min="12528" max="12528" width="15.125" style="5" bestFit="1" customWidth="1"/>
    <col min="12529" max="12530" width="8.75" style="5"/>
    <col min="12531" max="12531" width="25.875" style="5" bestFit="1" customWidth="1"/>
    <col min="12532" max="12534" width="8.75" style="5"/>
    <col min="12535" max="12535" width="19.125" style="5" bestFit="1" customWidth="1"/>
    <col min="12536" max="12536" width="18.75" style="5" bestFit="1" customWidth="1"/>
    <col min="12537" max="12537" width="18.25" style="5" customWidth="1"/>
    <col min="12538" max="12538" width="20.625" style="5" bestFit="1" customWidth="1"/>
    <col min="12539" max="12539" width="14.625" style="5" bestFit="1" customWidth="1"/>
    <col min="12540" max="12540" width="16.125" style="5" bestFit="1" customWidth="1"/>
    <col min="12541" max="12541" width="15.125" style="5" bestFit="1" customWidth="1"/>
    <col min="12542" max="12767" width="8.75" style="5"/>
    <col min="12768" max="12768" width="41.25" style="5" bestFit="1" customWidth="1"/>
    <col min="12769" max="12769" width="15.125" style="5" bestFit="1" customWidth="1"/>
    <col min="12770" max="12779" width="8.75" style="5"/>
    <col min="12780" max="12780" width="21.625" style="5" bestFit="1" customWidth="1"/>
    <col min="12781" max="12783" width="8.75" style="5"/>
    <col min="12784" max="12784" width="15.125" style="5" bestFit="1" customWidth="1"/>
    <col min="12785" max="12786" width="8.75" style="5"/>
    <col min="12787" max="12787" width="25.875" style="5" bestFit="1" customWidth="1"/>
    <col min="12788" max="12790" width="8.75" style="5"/>
    <col min="12791" max="12791" width="19.125" style="5" bestFit="1" customWidth="1"/>
    <col min="12792" max="12792" width="18.75" style="5" bestFit="1" customWidth="1"/>
    <col min="12793" max="12793" width="18.25" style="5" customWidth="1"/>
    <col min="12794" max="12794" width="20.625" style="5" bestFit="1" customWidth="1"/>
    <col min="12795" max="12795" width="14.625" style="5" bestFit="1" customWidth="1"/>
    <col min="12796" max="12796" width="16.125" style="5" bestFit="1" customWidth="1"/>
    <col min="12797" max="12797" width="15.125" style="5" bestFit="1" customWidth="1"/>
    <col min="12798" max="13023" width="8.75" style="5"/>
    <col min="13024" max="13024" width="41.25" style="5" bestFit="1" customWidth="1"/>
    <col min="13025" max="13025" width="15.125" style="5" bestFit="1" customWidth="1"/>
    <col min="13026" max="13035" width="8.75" style="5"/>
    <col min="13036" max="13036" width="21.625" style="5" bestFit="1" customWidth="1"/>
    <col min="13037" max="13039" width="8.75" style="5"/>
    <col min="13040" max="13040" width="15.125" style="5" bestFit="1" customWidth="1"/>
    <col min="13041" max="13042" width="8.75" style="5"/>
    <col min="13043" max="13043" width="25.875" style="5" bestFit="1" customWidth="1"/>
    <col min="13044" max="13046" width="8.75" style="5"/>
    <col min="13047" max="13047" width="19.125" style="5" bestFit="1" customWidth="1"/>
    <col min="13048" max="13048" width="18.75" style="5" bestFit="1" customWidth="1"/>
    <col min="13049" max="13049" width="18.25" style="5" customWidth="1"/>
    <col min="13050" max="13050" width="20.625" style="5" bestFit="1" customWidth="1"/>
    <col min="13051" max="13051" width="14.625" style="5" bestFit="1" customWidth="1"/>
    <col min="13052" max="13052" width="16.125" style="5" bestFit="1" customWidth="1"/>
    <col min="13053" max="13053" width="15.125" style="5" bestFit="1" customWidth="1"/>
    <col min="13054" max="13279" width="8.75" style="5"/>
    <col min="13280" max="13280" width="41.25" style="5" bestFit="1" customWidth="1"/>
    <col min="13281" max="13281" width="15.125" style="5" bestFit="1" customWidth="1"/>
    <col min="13282" max="13291" width="8.75" style="5"/>
    <col min="13292" max="13292" width="21.625" style="5" bestFit="1" customWidth="1"/>
    <col min="13293" max="13295" width="8.75" style="5"/>
    <col min="13296" max="13296" width="15.125" style="5" bestFit="1" customWidth="1"/>
    <col min="13297" max="13298" width="8.75" style="5"/>
    <col min="13299" max="13299" width="25.875" style="5" bestFit="1" customWidth="1"/>
    <col min="13300" max="13302" width="8.75" style="5"/>
    <col min="13303" max="13303" width="19.125" style="5" bestFit="1" customWidth="1"/>
    <col min="13304" max="13304" width="18.75" style="5" bestFit="1" customWidth="1"/>
    <col min="13305" max="13305" width="18.25" style="5" customWidth="1"/>
    <col min="13306" max="13306" width="20.625" style="5" bestFit="1" customWidth="1"/>
    <col min="13307" max="13307" width="14.625" style="5" bestFit="1" customWidth="1"/>
    <col min="13308" max="13308" width="16.125" style="5" bestFit="1" customWidth="1"/>
    <col min="13309" max="13309" width="15.125" style="5" bestFit="1" customWidth="1"/>
    <col min="13310" max="13535" width="8.75" style="5"/>
    <col min="13536" max="13536" width="41.25" style="5" bestFit="1" customWidth="1"/>
    <col min="13537" max="13537" width="15.125" style="5" bestFit="1" customWidth="1"/>
    <col min="13538" max="13547" width="8.75" style="5"/>
    <col min="13548" max="13548" width="21.625" style="5" bestFit="1" customWidth="1"/>
    <col min="13549" max="13551" width="8.75" style="5"/>
    <col min="13552" max="13552" width="15.125" style="5" bestFit="1" customWidth="1"/>
    <col min="13553" max="13554" width="8.75" style="5"/>
    <col min="13555" max="13555" width="25.875" style="5" bestFit="1" customWidth="1"/>
    <col min="13556" max="13558" width="8.75" style="5"/>
    <col min="13559" max="13559" width="19.125" style="5" bestFit="1" customWidth="1"/>
    <col min="13560" max="13560" width="18.75" style="5" bestFit="1" customWidth="1"/>
    <col min="13561" max="13561" width="18.25" style="5" customWidth="1"/>
    <col min="13562" max="13562" width="20.625" style="5" bestFit="1" customWidth="1"/>
    <col min="13563" max="13563" width="14.625" style="5" bestFit="1" customWidth="1"/>
    <col min="13564" max="13564" width="16.125" style="5" bestFit="1" customWidth="1"/>
    <col min="13565" max="13565" width="15.125" style="5" bestFit="1" customWidth="1"/>
    <col min="13566" max="13791" width="8.75" style="5"/>
    <col min="13792" max="13792" width="41.25" style="5" bestFit="1" customWidth="1"/>
    <col min="13793" max="13793" width="15.125" style="5" bestFit="1" customWidth="1"/>
    <col min="13794" max="13803" width="8.75" style="5"/>
    <col min="13804" max="13804" width="21.625" style="5" bestFit="1" customWidth="1"/>
    <col min="13805" max="13807" width="8.75" style="5"/>
    <col min="13808" max="13808" width="15.125" style="5" bestFit="1" customWidth="1"/>
    <col min="13809" max="13810" width="8.75" style="5"/>
    <col min="13811" max="13811" width="25.875" style="5" bestFit="1" customWidth="1"/>
    <col min="13812" max="13814" width="8.75" style="5"/>
    <col min="13815" max="13815" width="19.125" style="5" bestFit="1" customWidth="1"/>
    <col min="13816" max="13816" width="18.75" style="5" bestFit="1" customWidth="1"/>
    <col min="13817" max="13817" width="18.25" style="5" customWidth="1"/>
    <col min="13818" max="13818" width="20.625" style="5" bestFit="1" customWidth="1"/>
    <col min="13819" max="13819" width="14.625" style="5" bestFit="1" customWidth="1"/>
    <col min="13820" max="13820" width="16.125" style="5" bestFit="1" customWidth="1"/>
    <col min="13821" max="13821" width="15.125" style="5" bestFit="1" customWidth="1"/>
    <col min="13822" max="14047" width="8.75" style="5"/>
    <col min="14048" max="14048" width="41.25" style="5" bestFit="1" customWidth="1"/>
    <col min="14049" max="14049" width="15.125" style="5" bestFit="1" customWidth="1"/>
    <col min="14050" max="14059" width="8.75" style="5"/>
    <col min="14060" max="14060" width="21.625" style="5" bestFit="1" customWidth="1"/>
    <col min="14061" max="14063" width="8.75" style="5"/>
    <col min="14064" max="14064" width="15.125" style="5" bestFit="1" customWidth="1"/>
    <col min="14065" max="14066" width="8.75" style="5"/>
    <col min="14067" max="14067" width="25.875" style="5" bestFit="1" customWidth="1"/>
    <col min="14068" max="14070" width="8.75" style="5"/>
    <col min="14071" max="14071" width="19.125" style="5" bestFit="1" customWidth="1"/>
    <col min="14072" max="14072" width="18.75" style="5" bestFit="1" customWidth="1"/>
    <col min="14073" max="14073" width="18.25" style="5" customWidth="1"/>
    <col min="14074" max="14074" width="20.625" style="5" bestFit="1" customWidth="1"/>
    <col min="14075" max="14075" width="14.625" style="5" bestFit="1" customWidth="1"/>
    <col min="14076" max="14076" width="16.125" style="5" bestFit="1" customWidth="1"/>
    <col min="14077" max="14077" width="15.125" style="5" bestFit="1" customWidth="1"/>
    <col min="14078" max="14303" width="8.75" style="5"/>
    <col min="14304" max="14304" width="41.25" style="5" bestFit="1" customWidth="1"/>
    <col min="14305" max="14305" width="15.125" style="5" bestFit="1" customWidth="1"/>
    <col min="14306" max="14315" width="8.75" style="5"/>
    <col min="14316" max="14316" width="21.625" style="5" bestFit="1" customWidth="1"/>
    <col min="14317" max="14319" width="8.75" style="5"/>
    <col min="14320" max="14320" width="15.125" style="5" bestFit="1" customWidth="1"/>
    <col min="14321" max="14322" width="8.75" style="5"/>
    <col min="14323" max="14323" width="25.875" style="5" bestFit="1" customWidth="1"/>
    <col min="14324" max="14326" width="8.75" style="5"/>
    <col min="14327" max="14327" width="19.125" style="5" bestFit="1" customWidth="1"/>
    <col min="14328" max="14328" width="18.75" style="5" bestFit="1" customWidth="1"/>
    <col min="14329" max="14329" width="18.25" style="5" customWidth="1"/>
    <col min="14330" max="14330" width="20.625" style="5" bestFit="1" customWidth="1"/>
    <col min="14331" max="14331" width="14.625" style="5" bestFit="1" customWidth="1"/>
    <col min="14332" max="14332" width="16.125" style="5" bestFit="1" customWidth="1"/>
    <col min="14333" max="14333" width="15.125" style="5" bestFit="1" customWidth="1"/>
    <col min="14334" max="14559" width="8.75" style="5"/>
    <col min="14560" max="14560" width="41.25" style="5" bestFit="1" customWidth="1"/>
    <col min="14561" max="14561" width="15.125" style="5" bestFit="1" customWidth="1"/>
    <col min="14562" max="14571" width="8.75" style="5"/>
    <col min="14572" max="14572" width="21.625" style="5" bestFit="1" customWidth="1"/>
    <col min="14573" max="14575" width="8.75" style="5"/>
    <col min="14576" max="14576" width="15.125" style="5" bestFit="1" customWidth="1"/>
    <col min="14577" max="14578" width="8.75" style="5"/>
    <col min="14579" max="14579" width="25.875" style="5" bestFit="1" customWidth="1"/>
    <col min="14580" max="14582" width="8.75" style="5"/>
    <col min="14583" max="14583" width="19.125" style="5" bestFit="1" customWidth="1"/>
    <col min="14584" max="14584" width="18.75" style="5" bestFit="1" customWidth="1"/>
    <col min="14585" max="14585" width="18.25" style="5" customWidth="1"/>
    <col min="14586" max="14586" width="20.625" style="5" bestFit="1" customWidth="1"/>
    <col min="14587" max="14587" width="14.625" style="5" bestFit="1" customWidth="1"/>
    <col min="14588" max="14588" width="16.125" style="5" bestFit="1" customWidth="1"/>
    <col min="14589" max="14589" width="15.125" style="5" bestFit="1" customWidth="1"/>
    <col min="14590" max="14815" width="8.75" style="5"/>
    <col min="14816" max="14816" width="41.25" style="5" bestFit="1" customWidth="1"/>
    <col min="14817" max="14817" width="15.125" style="5" bestFit="1" customWidth="1"/>
    <col min="14818" max="14827" width="8.75" style="5"/>
    <col min="14828" max="14828" width="21.625" style="5" bestFit="1" customWidth="1"/>
    <col min="14829" max="14831" width="8.75" style="5"/>
    <col min="14832" max="14832" width="15.125" style="5" bestFit="1" customWidth="1"/>
    <col min="14833" max="14834" width="8.75" style="5"/>
    <col min="14835" max="14835" width="25.875" style="5" bestFit="1" customWidth="1"/>
    <col min="14836" max="14838" width="8.75" style="5"/>
    <col min="14839" max="14839" width="19.125" style="5" bestFit="1" customWidth="1"/>
    <col min="14840" max="14840" width="18.75" style="5" bestFit="1" customWidth="1"/>
    <col min="14841" max="14841" width="18.25" style="5" customWidth="1"/>
    <col min="14842" max="14842" width="20.625" style="5" bestFit="1" customWidth="1"/>
    <col min="14843" max="14843" width="14.625" style="5" bestFit="1" customWidth="1"/>
    <col min="14844" max="14844" width="16.125" style="5" bestFit="1" customWidth="1"/>
    <col min="14845" max="14845" width="15.125" style="5" bestFit="1" customWidth="1"/>
    <col min="14846" max="15071" width="8.75" style="5"/>
    <col min="15072" max="15072" width="41.25" style="5" bestFit="1" customWidth="1"/>
    <col min="15073" max="15073" width="15.125" style="5" bestFit="1" customWidth="1"/>
    <col min="15074" max="15083" width="8.75" style="5"/>
    <col min="15084" max="15084" width="21.625" style="5" bestFit="1" customWidth="1"/>
    <col min="15085" max="15087" width="8.75" style="5"/>
    <col min="15088" max="15088" width="15.125" style="5" bestFit="1" customWidth="1"/>
    <col min="15089" max="15090" width="8.75" style="5"/>
    <col min="15091" max="15091" width="25.875" style="5" bestFit="1" customWidth="1"/>
    <col min="15092" max="15094" width="8.75" style="5"/>
    <col min="15095" max="15095" width="19.125" style="5" bestFit="1" customWidth="1"/>
    <col min="15096" max="15096" width="18.75" style="5" bestFit="1" customWidth="1"/>
    <col min="15097" max="15097" width="18.25" style="5" customWidth="1"/>
    <col min="15098" max="15098" width="20.625" style="5" bestFit="1" customWidth="1"/>
    <col min="15099" max="15099" width="14.625" style="5" bestFit="1" customWidth="1"/>
    <col min="15100" max="15100" width="16.125" style="5" bestFit="1" customWidth="1"/>
    <col min="15101" max="15101" width="15.125" style="5" bestFit="1" customWidth="1"/>
    <col min="15102" max="15327" width="8.75" style="5"/>
    <col min="15328" max="15328" width="41.25" style="5" bestFit="1" customWidth="1"/>
    <col min="15329" max="15329" width="15.125" style="5" bestFit="1" customWidth="1"/>
    <col min="15330" max="15339" width="8.75" style="5"/>
    <col min="15340" max="15340" width="21.625" style="5" bestFit="1" customWidth="1"/>
    <col min="15341" max="15343" width="8.75" style="5"/>
    <col min="15344" max="15344" width="15.125" style="5" bestFit="1" customWidth="1"/>
    <col min="15345" max="15346" width="8.75" style="5"/>
    <col min="15347" max="15347" width="25.875" style="5" bestFit="1" customWidth="1"/>
    <col min="15348" max="15350" width="8.75" style="5"/>
    <col min="15351" max="15351" width="19.125" style="5" bestFit="1" customWidth="1"/>
    <col min="15352" max="15352" width="18.75" style="5" bestFit="1" customWidth="1"/>
    <col min="15353" max="15353" width="18.25" style="5" customWidth="1"/>
    <col min="15354" max="15354" width="20.625" style="5" bestFit="1" customWidth="1"/>
    <col min="15355" max="15355" width="14.625" style="5" bestFit="1" customWidth="1"/>
    <col min="15356" max="15356" width="16.125" style="5" bestFit="1" customWidth="1"/>
    <col min="15357" max="15357" width="15.125" style="5" bestFit="1" customWidth="1"/>
    <col min="15358" max="15583" width="8.75" style="5"/>
    <col min="15584" max="15584" width="41.25" style="5" bestFit="1" customWidth="1"/>
    <col min="15585" max="15585" width="15.125" style="5" bestFit="1" customWidth="1"/>
    <col min="15586" max="15595" width="8.75" style="5"/>
    <col min="15596" max="15596" width="21.625" style="5" bestFit="1" customWidth="1"/>
    <col min="15597" max="15599" width="8.75" style="5"/>
    <col min="15600" max="15600" width="15.125" style="5" bestFit="1" customWidth="1"/>
    <col min="15601" max="15602" width="8.75" style="5"/>
    <col min="15603" max="15603" width="25.875" style="5" bestFit="1" customWidth="1"/>
    <col min="15604" max="15606" width="8.75" style="5"/>
    <col min="15607" max="15607" width="19.125" style="5" bestFit="1" customWidth="1"/>
    <col min="15608" max="15608" width="18.75" style="5" bestFit="1" customWidth="1"/>
    <col min="15609" max="15609" width="18.25" style="5" customWidth="1"/>
    <col min="15610" max="15610" width="20.625" style="5" bestFit="1" customWidth="1"/>
    <col min="15611" max="15611" width="14.625" style="5" bestFit="1" customWidth="1"/>
    <col min="15612" max="15612" width="16.125" style="5" bestFit="1" customWidth="1"/>
    <col min="15613" max="15613" width="15.125" style="5" bestFit="1" customWidth="1"/>
    <col min="15614" max="15839" width="8.75" style="5"/>
    <col min="15840" max="15840" width="41.25" style="5" bestFit="1" customWidth="1"/>
    <col min="15841" max="15841" width="15.125" style="5" bestFit="1" customWidth="1"/>
    <col min="15842" max="15851" width="8.75" style="5"/>
    <col min="15852" max="15852" width="21.625" style="5" bestFit="1" customWidth="1"/>
    <col min="15853" max="15855" width="8.75" style="5"/>
    <col min="15856" max="15856" width="15.125" style="5" bestFit="1" customWidth="1"/>
    <col min="15857" max="15858" width="8.75" style="5"/>
    <col min="15859" max="15859" width="25.875" style="5" bestFit="1" customWidth="1"/>
    <col min="15860" max="15862" width="8.75" style="5"/>
    <col min="15863" max="15863" width="19.125" style="5" bestFit="1" customWidth="1"/>
    <col min="15864" max="15864" width="18.75" style="5" bestFit="1" customWidth="1"/>
    <col min="15865" max="15865" width="18.25" style="5" customWidth="1"/>
    <col min="15866" max="15866" width="20.625" style="5" bestFit="1" customWidth="1"/>
    <col min="15867" max="15867" width="14.625" style="5" bestFit="1" customWidth="1"/>
    <col min="15868" max="15868" width="16.125" style="5" bestFit="1" customWidth="1"/>
    <col min="15869" max="15869" width="15.125" style="5" bestFit="1" customWidth="1"/>
    <col min="15870" max="16095" width="8.75" style="5"/>
    <col min="16096" max="16096" width="41.25" style="5" bestFit="1" customWidth="1"/>
    <col min="16097" max="16097" width="15.125" style="5" bestFit="1" customWidth="1"/>
    <col min="16098" max="16107" width="8.75" style="5"/>
    <col min="16108" max="16108" width="21.625" style="5" bestFit="1" customWidth="1"/>
    <col min="16109" max="16111" width="8.75" style="5"/>
    <col min="16112" max="16112" width="15.125" style="5" bestFit="1" customWidth="1"/>
    <col min="16113" max="16114" width="8.75" style="5"/>
    <col min="16115" max="16115" width="25.875" style="5" bestFit="1" customWidth="1"/>
    <col min="16116" max="16118" width="8.75" style="5"/>
    <col min="16119" max="16119" width="19.125" style="5" bestFit="1" customWidth="1"/>
    <col min="16120" max="16120" width="18.75" style="5" bestFit="1" customWidth="1"/>
    <col min="16121" max="16121" width="18.25" style="5" customWidth="1"/>
    <col min="16122" max="16122" width="20.625" style="5" bestFit="1" customWidth="1"/>
    <col min="16123" max="16123" width="14.625" style="5" bestFit="1" customWidth="1"/>
    <col min="16124" max="16124" width="16.125" style="5" bestFit="1" customWidth="1"/>
    <col min="16125" max="16125" width="15.125" style="5" bestFit="1" customWidth="1"/>
    <col min="16126" max="16384" width="8.75" style="5"/>
  </cols>
  <sheetData>
    <row r="1" spans="1:16" s="2" customFormat="1" ht="18">
      <c r="A1" s="9" t="s">
        <v>1332</v>
      </c>
      <c r="B1" s="1"/>
      <c r="D1" s="1"/>
    </row>
    <row r="2" spans="1:16" s="2" customFormat="1" ht="16" customHeight="1" thickBot="1"/>
    <row r="3" spans="1:16" s="10" customFormat="1" ht="52" customHeight="1" thickBot="1">
      <c r="A3" s="11" t="s">
        <v>569</v>
      </c>
      <c r="B3" s="12" t="s">
        <v>1328</v>
      </c>
      <c r="C3" s="13" t="s">
        <v>1112</v>
      </c>
      <c r="D3" s="13" t="s">
        <v>570</v>
      </c>
      <c r="E3" s="13" t="s">
        <v>571</v>
      </c>
      <c r="F3" s="14" t="s">
        <v>1331</v>
      </c>
      <c r="G3" s="14" t="s">
        <v>1110</v>
      </c>
      <c r="H3" s="15" t="s">
        <v>161</v>
      </c>
      <c r="I3" s="15" t="s">
        <v>1111</v>
      </c>
      <c r="J3" s="15" t="s">
        <v>1326</v>
      </c>
      <c r="K3" s="15" t="s">
        <v>1327</v>
      </c>
      <c r="L3" s="13" t="s">
        <v>572</v>
      </c>
      <c r="M3" s="13" t="s">
        <v>14</v>
      </c>
      <c r="N3" s="13" t="s">
        <v>568</v>
      </c>
      <c r="O3" s="16" t="s">
        <v>1333</v>
      </c>
      <c r="P3" s="17" t="s">
        <v>1334</v>
      </c>
    </row>
    <row r="4" spans="1:16" ht="16" customHeight="1">
      <c r="A4" s="26" t="s">
        <v>9</v>
      </c>
      <c r="B4" s="27" t="s">
        <v>1329</v>
      </c>
      <c r="C4" s="27" t="s">
        <v>780</v>
      </c>
      <c r="D4" s="28" t="s">
        <v>912</v>
      </c>
      <c r="E4" s="28" t="s">
        <v>119</v>
      </c>
      <c r="F4" s="29">
        <v>4</v>
      </c>
      <c r="G4" s="29" t="s">
        <v>584</v>
      </c>
      <c r="H4" s="29">
        <v>7</v>
      </c>
      <c r="I4" s="29" t="s">
        <v>592</v>
      </c>
      <c r="J4" s="30" t="b">
        <v>0</v>
      </c>
      <c r="K4" s="30" t="b">
        <v>1</v>
      </c>
      <c r="L4" s="27">
        <f>COUNTIF(C$2:C239,C4)</f>
        <v>1</v>
      </c>
      <c r="M4" s="27" t="s">
        <v>548</v>
      </c>
      <c r="N4" s="27" t="s">
        <v>547</v>
      </c>
      <c r="O4" s="27" t="s">
        <v>13</v>
      </c>
      <c r="P4" s="31" t="s">
        <v>12</v>
      </c>
    </row>
    <row r="5" spans="1:16" ht="16" customHeight="1">
      <c r="A5" s="32" t="s">
        <v>99</v>
      </c>
      <c r="B5" s="18" t="s">
        <v>1329</v>
      </c>
      <c r="C5" s="18" t="s">
        <v>715</v>
      </c>
      <c r="D5" s="19" t="s">
        <v>716</v>
      </c>
      <c r="E5" s="19" t="s">
        <v>119</v>
      </c>
      <c r="F5" s="20">
        <v>6</v>
      </c>
      <c r="G5" s="20" t="s">
        <v>717</v>
      </c>
      <c r="H5" s="20">
        <v>7</v>
      </c>
      <c r="I5" s="20" t="s">
        <v>592</v>
      </c>
      <c r="J5" s="21" t="b">
        <v>0</v>
      </c>
      <c r="K5" s="21" t="b">
        <v>1</v>
      </c>
      <c r="L5" s="18">
        <f>COUNTIF(C$2:C240,C5)</f>
        <v>1</v>
      </c>
      <c r="M5" s="18" t="s">
        <v>548</v>
      </c>
      <c r="N5" s="18" t="s">
        <v>547</v>
      </c>
      <c r="O5" s="18" t="s">
        <v>12</v>
      </c>
      <c r="P5" s="33" t="s">
        <v>12</v>
      </c>
    </row>
    <row r="6" spans="1:16" ht="16" customHeight="1">
      <c r="A6" s="32" t="s">
        <v>44</v>
      </c>
      <c r="B6" s="18" t="s">
        <v>1329</v>
      </c>
      <c r="C6" s="18" t="s">
        <v>589</v>
      </c>
      <c r="D6" s="19" t="s">
        <v>631</v>
      </c>
      <c r="E6" s="19" t="s">
        <v>631</v>
      </c>
      <c r="F6" s="20">
        <v>6</v>
      </c>
      <c r="G6" s="20" t="s">
        <v>592</v>
      </c>
      <c r="H6" s="20">
        <v>6</v>
      </c>
      <c r="I6" s="20" t="s">
        <v>592</v>
      </c>
      <c r="J6" s="21" t="b">
        <v>0</v>
      </c>
      <c r="K6" s="21" t="b">
        <v>0</v>
      </c>
      <c r="L6" s="18">
        <f>COUNTIF(C$2:C241,C6)</f>
        <v>2</v>
      </c>
      <c r="M6" s="18" t="s">
        <v>548</v>
      </c>
      <c r="N6" s="18" t="s">
        <v>547</v>
      </c>
      <c r="O6" s="18" t="s">
        <v>12</v>
      </c>
      <c r="P6" s="33" t="s">
        <v>12</v>
      </c>
    </row>
    <row r="7" spans="1:16" ht="16" customHeight="1">
      <c r="A7" s="32" t="s">
        <v>118</v>
      </c>
      <c r="B7" s="18" t="s">
        <v>1329</v>
      </c>
      <c r="C7" s="18" t="s">
        <v>589</v>
      </c>
      <c r="D7" s="19" t="s">
        <v>631</v>
      </c>
      <c r="E7" s="19" t="s">
        <v>631</v>
      </c>
      <c r="F7" s="20">
        <v>6</v>
      </c>
      <c r="G7" s="20" t="s">
        <v>592</v>
      </c>
      <c r="H7" s="20">
        <v>6</v>
      </c>
      <c r="I7" s="20" t="s">
        <v>592</v>
      </c>
      <c r="J7" s="21" t="b">
        <v>0</v>
      </c>
      <c r="K7" s="21" t="b">
        <v>0</v>
      </c>
      <c r="L7" s="18">
        <f>COUNTIF(C$2:C242,C7)</f>
        <v>2</v>
      </c>
      <c r="M7" s="18" t="s">
        <v>548</v>
      </c>
      <c r="N7" s="18" t="s">
        <v>547</v>
      </c>
      <c r="O7" s="18" t="s">
        <v>12</v>
      </c>
      <c r="P7" s="33" t="s">
        <v>12</v>
      </c>
    </row>
    <row r="8" spans="1:16" ht="16" customHeight="1">
      <c r="A8" s="32" t="s">
        <v>44</v>
      </c>
      <c r="B8" s="18" t="s">
        <v>1329</v>
      </c>
      <c r="C8" s="18" t="s">
        <v>575</v>
      </c>
      <c r="D8" s="19" t="s">
        <v>119</v>
      </c>
      <c r="E8" s="19" t="s">
        <v>119</v>
      </c>
      <c r="F8" s="20">
        <v>7</v>
      </c>
      <c r="G8" s="20" t="s">
        <v>592</v>
      </c>
      <c r="H8" s="20">
        <v>7</v>
      </c>
      <c r="I8" s="20" t="s">
        <v>592</v>
      </c>
      <c r="J8" s="21" t="b">
        <v>1</v>
      </c>
      <c r="K8" s="21" t="b">
        <v>1</v>
      </c>
      <c r="L8" s="18">
        <f>COUNTIF(C$2:C243,C8)</f>
        <v>12</v>
      </c>
      <c r="M8" s="18" t="s">
        <v>548</v>
      </c>
      <c r="N8" s="18" t="s">
        <v>547</v>
      </c>
      <c r="O8" s="18" t="s">
        <v>12</v>
      </c>
      <c r="P8" s="33" t="s">
        <v>12</v>
      </c>
    </row>
    <row r="9" spans="1:16" ht="16" customHeight="1">
      <c r="A9" s="32" t="s">
        <v>15</v>
      </c>
      <c r="B9" s="18" t="s">
        <v>1329</v>
      </c>
      <c r="C9" s="19" t="s">
        <v>575</v>
      </c>
      <c r="D9" s="19" t="s">
        <v>119</v>
      </c>
      <c r="E9" s="19" t="s">
        <v>119</v>
      </c>
      <c r="F9" s="20">
        <v>7</v>
      </c>
      <c r="G9" s="20" t="s">
        <v>592</v>
      </c>
      <c r="H9" s="20">
        <v>7</v>
      </c>
      <c r="I9" s="20" t="s">
        <v>592</v>
      </c>
      <c r="J9" s="21" t="b">
        <v>1</v>
      </c>
      <c r="K9" s="21" t="b">
        <v>1</v>
      </c>
      <c r="L9" s="18">
        <f>COUNTIF(C$2:C244,C9)</f>
        <v>12</v>
      </c>
      <c r="M9" s="18" t="s">
        <v>547</v>
      </c>
      <c r="N9" s="18" t="s">
        <v>548</v>
      </c>
      <c r="O9" s="18" t="s">
        <v>12</v>
      </c>
      <c r="P9" s="33" t="s">
        <v>12</v>
      </c>
    </row>
    <row r="10" spans="1:16" ht="16" customHeight="1">
      <c r="A10" s="32" t="s">
        <v>62</v>
      </c>
      <c r="B10" s="18" t="s">
        <v>1329</v>
      </c>
      <c r="C10" s="19" t="s">
        <v>575</v>
      </c>
      <c r="D10" s="19" t="s">
        <v>119</v>
      </c>
      <c r="E10" s="19" t="s">
        <v>119</v>
      </c>
      <c r="F10" s="20">
        <v>7</v>
      </c>
      <c r="G10" s="20" t="s">
        <v>592</v>
      </c>
      <c r="H10" s="20">
        <v>7</v>
      </c>
      <c r="I10" s="20" t="s">
        <v>592</v>
      </c>
      <c r="J10" s="21" t="b">
        <v>1</v>
      </c>
      <c r="K10" s="21" t="b">
        <v>1</v>
      </c>
      <c r="L10" s="18">
        <f>COUNTIF(C$2:C245,C10)</f>
        <v>12</v>
      </c>
      <c r="M10" s="18" t="s">
        <v>547</v>
      </c>
      <c r="N10" s="18" t="s">
        <v>548</v>
      </c>
      <c r="O10" s="18" t="s">
        <v>12</v>
      </c>
      <c r="P10" s="33" t="s">
        <v>12</v>
      </c>
    </row>
    <row r="11" spans="1:16" ht="16" customHeight="1">
      <c r="A11" s="32" t="s">
        <v>78</v>
      </c>
      <c r="B11" s="18" t="s">
        <v>1329</v>
      </c>
      <c r="C11" s="19" t="s">
        <v>575</v>
      </c>
      <c r="D11" s="19" t="s">
        <v>119</v>
      </c>
      <c r="E11" s="19" t="s">
        <v>119</v>
      </c>
      <c r="F11" s="20">
        <v>7</v>
      </c>
      <c r="G11" s="20" t="s">
        <v>592</v>
      </c>
      <c r="H11" s="20">
        <v>7</v>
      </c>
      <c r="I11" s="20" t="s">
        <v>592</v>
      </c>
      <c r="J11" s="21" t="b">
        <v>1</v>
      </c>
      <c r="K11" s="21" t="b">
        <v>1</v>
      </c>
      <c r="L11" s="18">
        <f>COUNTIF(C$2:C246,C11)</f>
        <v>12</v>
      </c>
      <c r="M11" s="18" t="s">
        <v>547</v>
      </c>
      <c r="N11" s="18" t="s">
        <v>548</v>
      </c>
      <c r="O11" s="18" t="s">
        <v>12</v>
      </c>
      <c r="P11" s="33" t="s">
        <v>12</v>
      </c>
    </row>
    <row r="12" spans="1:16" ht="16" customHeight="1">
      <c r="A12" s="32" t="s">
        <v>106</v>
      </c>
      <c r="B12" s="18" t="s">
        <v>1329</v>
      </c>
      <c r="C12" s="19" t="s">
        <v>575</v>
      </c>
      <c r="D12" s="19" t="s">
        <v>119</v>
      </c>
      <c r="E12" s="19" t="s">
        <v>119</v>
      </c>
      <c r="F12" s="20">
        <v>7</v>
      </c>
      <c r="G12" s="20" t="s">
        <v>592</v>
      </c>
      <c r="H12" s="20">
        <v>7</v>
      </c>
      <c r="I12" s="20" t="s">
        <v>592</v>
      </c>
      <c r="J12" s="21" t="b">
        <v>1</v>
      </c>
      <c r="K12" s="21" t="b">
        <v>1</v>
      </c>
      <c r="L12" s="18">
        <f>COUNTIF(C$2:C247,C12)</f>
        <v>12</v>
      </c>
      <c r="M12" s="18" t="s">
        <v>547</v>
      </c>
      <c r="N12" s="18" t="s">
        <v>548</v>
      </c>
      <c r="O12" s="18" t="s">
        <v>12</v>
      </c>
      <c r="P12" s="33" t="s">
        <v>12</v>
      </c>
    </row>
    <row r="13" spans="1:16" ht="16" customHeight="1">
      <c r="A13" s="34" t="s">
        <v>0</v>
      </c>
      <c r="B13" s="18" t="s">
        <v>1329</v>
      </c>
      <c r="C13" s="19" t="s">
        <v>575</v>
      </c>
      <c r="D13" s="19" t="s">
        <v>119</v>
      </c>
      <c r="E13" s="19" t="s">
        <v>119</v>
      </c>
      <c r="F13" s="20">
        <v>7</v>
      </c>
      <c r="G13" s="20" t="s">
        <v>592</v>
      </c>
      <c r="H13" s="20">
        <v>7</v>
      </c>
      <c r="I13" s="20" t="s">
        <v>592</v>
      </c>
      <c r="J13" s="21" t="b">
        <v>1</v>
      </c>
      <c r="K13" s="21" t="b">
        <v>1</v>
      </c>
      <c r="L13" s="18">
        <f>COUNTIF(C$2:C248,C13)</f>
        <v>12</v>
      </c>
      <c r="M13" s="18" t="s">
        <v>547</v>
      </c>
      <c r="N13" s="18" t="s">
        <v>548</v>
      </c>
      <c r="O13" s="18" t="s">
        <v>13</v>
      </c>
      <c r="P13" s="33" t="s">
        <v>12</v>
      </c>
    </row>
    <row r="14" spans="1:16" ht="16" customHeight="1">
      <c r="A14" s="34" t="s">
        <v>3</v>
      </c>
      <c r="B14" s="18" t="s">
        <v>1329</v>
      </c>
      <c r="C14" s="19" t="s">
        <v>575</v>
      </c>
      <c r="D14" s="19" t="s">
        <v>119</v>
      </c>
      <c r="E14" s="19" t="s">
        <v>119</v>
      </c>
      <c r="F14" s="20">
        <v>7</v>
      </c>
      <c r="G14" s="20" t="s">
        <v>592</v>
      </c>
      <c r="H14" s="20">
        <v>7</v>
      </c>
      <c r="I14" s="20" t="s">
        <v>592</v>
      </c>
      <c r="J14" s="21" t="b">
        <v>1</v>
      </c>
      <c r="K14" s="21" t="b">
        <v>1</v>
      </c>
      <c r="L14" s="18">
        <f>COUNTIF(C$2:C249,C14)</f>
        <v>12</v>
      </c>
      <c r="M14" s="18" t="s">
        <v>547</v>
      </c>
      <c r="N14" s="18" t="s">
        <v>548</v>
      </c>
      <c r="O14" s="18" t="s">
        <v>13</v>
      </c>
      <c r="P14" s="33" t="s">
        <v>12</v>
      </c>
    </row>
    <row r="15" spans="1:16" ht="16" customHeight="1">
      <c r="A15" s="34" t="s">
        <v>2</v>
      </c>
      <c r="B15" s="18" t="s">
        <v>1329</v>
      </c>
      <c r="C15" s="19" t="s">
        <v>575</v>
      </c>
      <c r="D15" s="19" t="s">
        <v>119</v>
      </c>
      <c r="E15" s="19" t="s">
        <v>119</v>
      </c>
      <c r="F15" s="20">
        <v>7</v>
      </c>
      <c r="G15" s="20" t="s">
        <v>592</v>
      </c>
      <c r="H15" s="20">
        <v>7</v>
      </c>
      <c r="I15" s="20" t="s">
        <v>592</v>
      </c>
      <c r="J15" s="21" t="b">
        <v>1</v>
      </c>
      <c r="K15" s="21" t="b">
        <v>1</v>
      </c>
      <c r="L15" s="18">
        <f>COUNTIF(C$2:C250,C15)</f>
        <v>12</v>
      </c>
      <c r="M15" s="18" t="s">
        <v>547</v>
      </c>
      <c r="N15" s="18" t="s">
        <v>547</v>
      </c>
      <c r="O15" s="18" t="s">
        <v>12</v>
      </c>
      <c r="P15" s="33" t="s">
        <v>12</v>
      </c>
    </row>
    <row r="16" spans="1:16" ht="16" customHeight="1">
      <c r="A16" s="32" t="s">
        <v>45</v>
      </c>
      <c r="B16" s="18" t="s">
        <v>1329</v>
      </c>
      <c r="C16" s="19" t="s">
        <v>575</v>
      </c>
      <c r="D16" s="19" t="s">
        <v>119</v>
      </c>
      <c r="E16" s="19" t="s">
        <v>119</v>
      </c>
      <c r="F16" s="20">
        <v>7</v>
      </c>
      <c r="G16" s="20" t="s">
        <v>592</v>
      </c>
      <c r="H16" s="20">
        <v>7</v>
      </c>
      <c r="I16" s="20" t="s">
        <v>592</v>
      </c>
      <c r="J16" s="21" t="b">
        <v>1</v>
      </c>
      <c r="K16" s="21" t="b">
        <v>1</v>
      </c>
      <c r="L16" s="18">
        <f>COUNTIF(C$2:C251,C16)</f>
        <v>12</v>
      </c>
      <c r="M16" s="18" t="s">
        <v>547</v>
      </c>
      <c r="N16" s="18" t="s">
        <v>547</v>
      </c>
      <c r="O16" s="18" t="s">
        <v>12</v>
      </c>
      <c r="P16" s="33" t="s">
        <v>12</v>
      </c>
    </row>
    <row r="17" spans="1:16" ht="16" customHeight="1">
      <c r="A17" s="32" t="s">
        <v>82</v>
      </c>
      <c r="B17" s="18" t="s">
        <v>1329</v>
      </c>
      <c r="C17" s="19" t="s">
        <v>575</v>
      </c>
      <c r="D17" s="19" t="s">
        <v>119</v>
      </c>
      <c r="E17" s="19" t="s">
        <v>119</v>
      </c>
      <c r="F17" s="20">
        <v>7</v>
      </c>
      <c r="G17" s="20" t="s">
        <v>592</v>
      </c>
      <c r="H17" s="20">
        <v>7</v>
      </c>
      <c r="I17" s="20" t="s">
        <v>592</v>
      </c>
      <c r="J17" s="21" t="b">
        <v>1</v>
      </c>
      <c r="K17" s="21" t="b">
        <v>1</v>
      </c>
      <c r="L17" s="18">
        <f>COUNTIF(C$2:C252,C17)</f>
        <v>12</v>
      </c>
      <c r="M17" s="18" t="s">
        <v>547</v>
      </c>
      <c r="N17" s="18" t="s">
        <v>547</v>
      </c>
      <c r="O17" s="18" t="s">
        <v>12</v>
      </c>
      <c r="P17" s="33" t="s">
        <v>12</v>
      </c>
    </row>
    <row r="18" spans="1:16" ht="16" customHeight="1">
      <c r="A18" s="32" t="s">
        <v>83</v>
      </c>
      <c r="B18" s="18" t="s">
        <v>1329</v>
      </c>
      <c r="C18" s="19" t="s">
        <v>575</v>
      </c>
      <c r="D18" s="19" t="s">
        <v>119</v>
      </c>
      <c r="E18" s="19" t="s">
        <v>119</v>
      </c>
      <c r="F18" s="20">
        <v>7</v>
      </c>
      <c r="G18" s="20" t="s">
        <v>592</v>
      </c>
      <c r="H18" s="20">
        <v>7</v>
      </c>
      <c r="I18" s="20" t="s">
        <v>592</v>
      </c>
      <c r="J18" s="21" t="b">
        <v>1</v>
      </c>
      <c r="K18" s="21" t="b">
        <v>1</v>
      </c>
      <c r="L18" s="18">
        <f>COUNTIF(C$2:C253,C18)</f>
        <v>12</v>
      </c>
      <c r="M18" s="18" t="s">
        <v>547</v>
      </c>
      <c r="N18" s="18" t="s">
        <v>547</v>
      </c>
      <c r="O18" s="18" t="s">
        <v>12</v>
      </c>
      <c r="P18" s="33" t="s">
        <v>12</v>
      </c>
    </row>
    <row r="19" spans="1:16" ht="16" customHeight="1">
      <c r="A19" s="34" t="s">
        <v>6</v>
      </c>
      <c r="B19" s="18" t="s">
        <v>1329</v>
      </c>
      <c r="C19" s="19" t="s">
        <v>575</v>
      </c>
      <c r="D19" s="19" t="s">
        <v>119</v>
      </c>
      <c r="E19" s="19" t="s">
        <v>119</v>
      </c>
      <c r="F19" s="20">
        <v>7</v>
      </c>
      <c r="G19" s="20" t="s">
        <v>592</v>
      </c>
      <c r="H19" s="20">
        <v>7</v>
      </c>
      <c r="I19" s="20" t="s">
        <v>592</v>
      </c>
      <c r="J19" s="21" t="b">
        <v>1</v>
      </c>
      <c r="K19" s="21" t="b">
        <v>1</v>
      </c>
      <c r="L19" s="18">
        <f>COUNTIF(C$2:C254,C19)</f>
        <v>12</v>
      </c>
      <c r="M19" s="18" t="s">
        <v>547</v>
      </c>
      <c r="N19" s="18" t="s">
        <v>547</v>
      </c>
      <c r="O19" s="18" t="s">
        <v>13</v>
      </c>
      <c r="P19" s="33" t="s">
        <v>12</v>
      </c>
    </row>
    <row r="20" spans="1:16" ht="16" customHeight="1">
      <c r="A20" s="32" t="s">
        <v>83</v>
      </c>
      <c r="B20" s="18" t="s">
        <v>1329</v>
      </c>
      <c r="C20" s="19" t="s">
        <v>796</v>
      </c>
      <c r="D20" s="19" t="s">
        <v>119</v>
      </c>
      <c r="E20" s="19" t="s">
        <v>797</v>
      </c>
      <c r="F20" s="20">
        <v>7</v>
      </c>
      <c r="G20" s="20" t="s">
        <v>592</v>
      </c>
      <c r="H20" s="20">
        <v>7</v>
      </c>
      <c r="I20" s="20" t="s">
        <v>592</v>
      </c>
      <c r="J20" s="21" t="b">
        <v>1</v>
      </c>
      <c r="K20" s="21" t="b">
        <v>0</v>
      </c>
      <c r="L20" s="18">
        <f>COUNTIF(C$2:C255,C20)</f>
        <v>1</v>
      </c>
      <c r="M20" s="18" t="s">
        <v>547</v>
      </c>
      <c r="N20" s="18" t="s">
        <v>548</v>
      </c>
      <c r="O20" s="18" t="s">
        <v>12</v>
      </c>
      <c r="P20" s="33" t="s">
        <v>12</v>
      </c>
    </row>
    <row r="21" spans="1:16" ht="16" customHeight="1">
      <c r="A21" s="32" t="s">
        <v>83</v>
      </c>
      <c r="B21" s="18" t="s">
        <v>1329</v>
      </c>
      <c r="C21" s="19" t="s">
        <v>799</v>
      </c>
      <c r="D21" s="19" t="s">
        <v>119</v>
      </c>
      <c r="E21" s="19" t="s">
        <v>501</v>
      </c>
      <c r="F21" s="20">
        <v>7</v>
      </c>
      <c r="G21" s="20" t="s">
        <v>592</v>
      </c>
      <c r="H21" s="20">
        <v>7</v>
      </c>
      <c r="I21" s="20" t="s">
        <v>592</v>
      </c>
      <c r="J21" s="21" t="b">
        <v>1</v>
      </c>
      <c r="K21" s="21" t="b">
        <v>1</v>
      </c>
      <c r="L21" s="18">
        <f>COUNTIF(C$2:C256,C21)</f>
        <v>1</v>
      </c>
      <c r="M21" s="18" t="s">
        <v>547</v>
      </c>
      <c r="N21" s="18" t="s">
        <v>547</v>
      </c>
      <c r="O21" s="18" t="s">
        <v>12</v>
      </c>
      <c r="P21" s="33" t="s">
        <v>12</v>
      </c>
    </row>
    <row r="22" spans="1:16" ht="16" customHeight="1">
      <c r="A22" s="32" t="s">
        <v>106</v>
      </c>
      <c r="B22" s="18" t="s">
        <v>1329</v>
      </c>
      <c r="C22" s="19" t="s">
        <v>606</v>
      </c>
      <c r="D22" s="19" t="s">
        <v>119</v>
      </c>
      <c r="E22" s="19" t="s">
        <v>598</v>
      </c>
      <c r="F22" s="20">
        <v>7</v>
      </c>
      <c r="G22" s="20" t="s">
        <v>592</v>
      </c>
      <c r="H22" s="20">
        <v>7</v>
      </c>
      <c r="I22" s="20" t="s">
        <v>592</v>
      </c>
      <c r="J22" s="21" t="b">
        <v>1</v>
      </c>
      <c r="K22" s="21" t="b">
        <v>0</v>
      </c>
      <c r="L22" s="18">
        <f>COUNTIF(C$2:C257,C22)</f>
        <v>2</v>
      </c>
      <c r="M22" s="18" t="s">
        <v>547</v>
      </c>
      <c r="N22" s="18" t="s">
        <v>548</v>
      </c>
      <c r="O22" s="18" t="s">
        <v>12</v>
      </c>
      <c r="P22" s="33" t="s">
        <v>12</v>
      </c>
    </row>
    <row r="23" spans="1:16" ht="16" customHeight="1">
      <c r="A23" s="32" t="s">
        <v>83</v>
      </c>
      <c r="B23" s="18" t="s">
        <v>1329</v>
      </c>
      <c r="C23" s="19" t="s">
        <v>606</v>
      </c>
      <c r="D23" s="19" t="s">
        <v>119</v>
      </c>
      <c r="E23" s="19" t="s">
        <v>598</v>
      </c>
      <c r="F23" s="20">
        <v>7</v>
      </c>
      <c r="G23" s="20" t="s">
        <v>592</v>
      </c>
      <c r="H23" s="20">
        <v>7</v>
      </c>
      <c r="I23" s="20" t="s">
        <v>592</v>
      </c>
      <c r="J23" s="21" t="b">
        <v>1</v>
      </c>
      <c r="K23" s="21" t="b">
        <v>0</v>
      </c>
      <c r="L23" s="18">
        <f>COUNTIF(C$2:C258,C23)</f>
        <v>2</v>
      </c>
      <c r="M23" s="18" t="s">
        <v>547</v>
      </c>
      <c r="N23" s="18" t="s">
        <v>547</v>
      </c>
      <c r="O23" s="18" t="s">
        <v>12</v>
      </c>
      <c r="P23" s="33" t="s">
        <v>12</v>
      </c>
    </row>
    <row r="24" spans="1:16" ht="16" customHeight="1">
      <c r="A24" s="32" t="s">
        <v>82</v>
      </c>
      <c r="B24" s="18" t="s">
        <v>1329</v>
      </c>
      <c r="C24" s="19" t="s">
        <v>843</v>
      </c>
      <c r="D24" s="19" t="s">
        <v>850</v>
      </c>
      <c r="E24" s="19" t="s">
        <v>598</v>
      </c>
      <c r="F24" s="20">
        <v>7</v>
      </c>
      <c r="G24" s="20" t="s">
        <v>670</v>
      </c>
      <c r="H24" s="20">
        <v>7</v>
      </c>
      <c r="I24" s="20" t="s">
        <v>592</v>
      </c>
      <c r="J24" s="21" t="b">
        <v>0</v>
      </c>
      <c r="K24" s="21" t="b">
        <v>0</v>
      </c>
      <c r="L24" s="18">
        <f>COUNTIF(C$2:C259,C24)</f>
        <v>1</v>
      </c>
      <c r="M24" s="18" t="s">
        <v>547</v>
      </c>
      <c r="N24" s="18" t="s">
        <v>548</v>
      </c>
      <c r="O24" s="18" t="s">
        <v>12</v>
      </c>
      <c r="P24" s="33" t="s">
        <v>12</v>
      </c>
    </row>
    <row r="25" spans="1:16" ht="16" customHeight="1">
      <c r="A25" s="32" t="s">
        <v>83</v>
      </c>
      <c r="B25" s="18" t="s">
        <v>1329</v>
      </c>
      <c r="C25" s="19" t="s">
        <v>829</v>
      </c>
      <c r="D25" s="19" t="s">
        <v>501</v>
      </c>
      <c r="E25" s="19" t="s">
        <v>598</v>
      </c>
      <c r="F25" s="20">
        <v>7</v>
      </c>
      <c r="G25" s="20" t="s">
        <v>592</v>
      </c>
      <c r="H25" s="20">
        <v>7</v>
      </c>
      <c r="I25" s="20" t="s">
        <v>592</v>
      </c>
      <c r="J25" s="21" t="b">
        <v>1</v>
      </c>
      <c r="K25" s="21" t="b">
        <v>0</v>
      </c>
      <c r="L25" s="18">
        <f>COUNTIF(C$2:C260,C25)</f>
        <v>1</v>
      </c>
      <c r="M25" s="18" t="s">
        <v>547</v>
      </c>
      <c r="N25" s="18" t="s">
        <v>548</v>
      </c>
      <c r="O25" s="18" t="s">
        <v>12</v>
      </c>
      <c r="P25" s="33" t="s">
        <v>12</v>
      </c>
    </row>
    <row r="26" spans="1:16" ht="16" customHeight="1">
      <c r="A26" s="32" t="s">
        <v>97</v>
      </c>
      <c r="B26" s="18" t="s">
        <v>1329</v>
      </c>
      <c r="C26" s="18" t="s">
        <v>863</v>
      </c>
      <c r="D26" s="22" t="s">
        <v>655</v>
      </c>
      <c r="E26" s="19" t="s">
        <v>119</v>
      </c>
      <c r="F26" s="20">
        <v>7</v>
      </c>
      <c r="G26" s="20" t="s">
        <v>642</v>
      </c>
      <c r="H26" s="20">
        <v>7</v>
      </c>
      <c r="I26" s="20" t="s">
        <v>592</v>
      </c>
      <c r="J26" s="21" t="b">
        <v>0</v>
      </c>
      <c r="K26" s="21" t="b">
        <v>1</v>
      </c>
      <c r="L26" s="18">
        <f>COUNTIF(C$2:C261,C26)</f>
        <v>1</v>
      </c>
      <c r="M26" s="18" t="s">
        <v>548</v>
      </c>
      <c r="N26" s="18" t="s">
        <v>547</v>
      </c>
      <c r="O26" s="18" t="s">
        <v>12</v>
      </c>
      <c r="P26" s="33" t="s">
        <v>12</v>
      </c>
    </row>
    <row r="27" spans="1:16" ht="16" customHeight="1">
      <c r="A27" s="32" t="s">
        <v>51</v>
      </c>
      <c r="B27" s="18" t="s">
        <v>1329</v>
      </c>
      <c r="C27" s="18" t="s">
        <v>883</v>
      </c>
      <c r="D27" s="19" t="s">
        <v>943</v>
      </c>
      <c r="E27" s="19" t="s">
        <v>119</v>
      </c>
      <c r="F27" s="20">
        <v>7</v>
      </c>
      <c r="G27" s="20" t="s">
        <v>886</v>
      </c>
      <c r="H27" s="20">
        <v>7</v>
      </c>
      <c r="I27" s="20" t="s">
        <v>592</v>
      </c>
      <c r="J27" s="21" t="b">
        <v>0</v>
      </c>
      <c r="K27" s="21" t="b">
        <v>1</v>
      </c>
      <c r="L27" s="18">
        <f>COUNTIF(C$2:C262,C27)</f>
        <v>1</v>
      </c>
      <c r="M27" s="18" t="s">
        <v>548</v>
      </c>
      <c r="N27" s="18" t="s">
        <v>547</v>
      </c>
      <c r="O27" s="18" t="s">
        <v>12</v>
      </c>
      <c r="P27" s="33" t="s">
        <v>12</v>
      </c>
    </row>
    <row r="28" spans="1:16" ht="16" customHeight="1">
      <c r="A28" s="32" t="s">
        <v>83</v>
      </c>
      <c r="B28" s="18" t="s">
        <v>1329</v>
      </c>
      <c r="C28" s="18" t="s">
        <v>836</v>
      </c>
      <c r="D28" s="19" t="s">
        <v>598</v>
      </c>
      <c r="E28" s="19" t="s">
        <v>598</v>
      </c>
      <c r="F28" s="20">
        <v>7</v>
      </c>
      <c r="G28" s="20" t="s">
        <v>592</v>
      </c>
      <c r="H28" s="20">
        <v>7</v>
      </c>
      <c r="I28" s="20" t="s">
        <v>592</v>
      </c>
      <c r="J28" s="21" t="b">
        <v>0</v>
      </c>
      <c r="K28" s="21" t="b">
        <v>0</v>
      </c>
      <c r="L28" s="18">
        <f>COUNTIF(C$2:C263,C28)</f>
        <v>1</v>
      </c>
      <c r="M28" s="18" t="s">
        <v>548</v>
      </c>
      <c r="N28" s="18" t="s">
        <v>547</v>
      </c>
      <c r="O28" s="18" t="s">
        <v>12</v>
      </c>
      <c r="P28" s="33" t="s">
        <v>12</v>
      </c>
    </row>
    <row r="29" spans="1:16" ht="16" customHeight="1">
      <c r="A29" s="34" t="s">
        <v>3</v>
      </c>
      <c r="B29" s="18" t="s">
        <v>1329</v>
      </c>
      <c r="C29" s="19" t="s">
        <v>810</v>
      </c>
      <c r="D29" s="19" t="s">
        <v>551</v>
      </c>
      <c r="E29" s="19" t="s">
        <v>119</v>
      </c>
      <c r="F29" s="20">
        <v>7</v>
      </c>
      <c r="G29" s="20" t="s">
        <v>592</v>
      </c>
      <c r="H29" s="20">
        <v>7</v>
      </c>
      <c r="I29" s="20" t="s">
        <v>592</v>
      </c>
      <c r="J29" s="21" t="b">
        <v>1</v>
      </c>
      <c r="K29" s="21" t="b">
        <v>1</v>
      </c>
      <c r="L29" s="18">
        <f>COUNTIF(C$2:C264,C29)</f>
        <v>1</v>
      </c>
      <c r="M29" s="18" t="s">
        <v>547</v>
      </c>
      <c r="N29" s="18" t="s">
        <v>548</v>
      </c>
      <c r="O29" s="18" t="s">
        <v>13</v>
      </c>
      <c r="P29" s="33" t="s">
        <v>12</v>
      </c>
    </row>
    <row r="30" spans="1:16" ht="16" customHeight="1">
      <c r="A30" s="32" t="s">
        <v>89</v>
      </c>
      <c r="B30" s="18" t="s">
        <v>1329</v>
      </c>
      <c r="C30" s="19" t="s">
        <v>590</v>
      </c>
      <c r="D30" s="19" t="s">
        <v>591</v>
      </c>
      <c r="E30" s="19" t="s">
        <v>591</v>
      </c>
      <c r="F30" s="20">
        <v>11</v>
      </c>
      <c r="G30" s="20" t="s">
        <v>592</v>
      </c>
      <c r="H30" s="20">
        <v>11</v>
      </c>
      <c r="I30" s="20" t="s">
        <v>592</v>
      </c>
      <c r="J30" s="21" t="b">
        <v>0</v>
      </c>
      <c r="K30" s="21" t="b">
        <v>0</v>
      </c>
      <c r="L30" s="18">
        <f>COUNTIF(C$2:C265,C30)</f>
        <v>1</v>
      </c>
      <c r="M30" s="18" t="s">
        <v>547</v>
      </c>
      <c r="N30" s="18" t="s">
        <v>548</v>
      </c>
      <c r="O30" s="18" t="s">
        <v>12</v>
      </c>
      <c r="P30" s="33" t="s">
        <v>12</v>
      </c>
    </row>
    <row r="31" spans="1:16" ht="16" customHeight="1">
      <c r="A31" s="32" t="s">
        <v>83</v>
      </c>
      <c r="B31" s="18" t="s">
        <v>1329</v>
      </c>
      <c r="C31" s="19" t="s">
        <v>946</v>
      </c>
      <c r="D31" s="19" t="s">
        <v>149</v>
      </c>
      <c r="E31" s="19" t="s">
        <v>119</v>
      </c>
      <c r="F31" s="20">
        <v>12</v>
      </c>
      <c r="G31" s="20" t="s">
        <v>635</v>
      </c>
      <c r="H31" s="20">
        <v>7</v>
      </c>
      <c r="I31" s="20" t="s">
        <v>592</v>
      </c>
      <c r="J31" s="21" t="b">
        <v>0</v>
      </c>
      <c r="K31" s="21" t="b">
        <v>1</v>
      </c>
      <c r="L31" s="18">
        <f>COUNTIF(C$2:C266,C31)</f>
        <v>1</v>
      </c>
      <c r="M31" s="18" t="s">
        <v>547</v>
      </c>
      <c r="N31" s="18" t="s">
        <v>548</v>
      </c>
      <c r="O31" s="18" t="s">
        <v>12</v>
      </c>
      <c r="P31" s="33" t="s">
        <v>12</v>
      </c>
    </row>
    <row r="32" spans="1:16" ht="16" customHeight="1">
      <c r="A32" s="32" t="s">
        <v>83</v>
      </c>
      <c r="B32" s="18" t="s">
        <v>1329</v>
      </c>
      <c r="C32" s="19" t="s">
        <v>950</v>
      </c>
      <c r="D32" s="19" t="s">
        <v>149</v>
      </c>
      <c r="E32" s="19" t="s">
        <v>598</v>
      </c>
      <c r="F32" s="20">
        <v>12</v>
      </c>
      <c r="G32" s="20" t="s">
        <v>635</v>
      </c>
      <c r="H32" s="20">
        <v>7</v>
      </c>
      <c r="I32" s="20" t="s">
        <v>592</v>
      </c>
      <c r="J32" s="21" t="b">
        <v>0</v>
      </c>
      <c r="K32" s="21" t="b">
        <v>0</v>
      </c>
      <c r="L32" s="18">
        <f>COUNTIF(C$2:C267,C32)</f>
        <v>1</v>
      </c>
      <c r="M32" s="18" t="s">
        <v>547</v>
      </c>
      <c r="N32" s="18" t="s">
        <v>548</v>
      </c>
      <c r="O32" s="18" t="s">
        <v>12</v>
      </c>
      <c r="P32" s="33" t="s">
        <v>12</v>
      </c>
    </row>
    <row r="33" spans="1:16" ht="16" customHeight="1">
      <c r="A33" s="32" t="s">
        <v>99</v>
      </c>
      <c r="B33" s="18" t="s">
        <v>1329</v>
      </c>
      <c r="C33" s="18" t="s">
        <v>621</v>
      </c>
      <c r="D33" s="19" t="s">
        <v>694</v>
      </c>
      <c r="E33" s="19" t="s">
        <v>712</v>
      </c>
      <c r="F33" s="20">
        <v>19</v>
      </c>
      <c r="G33" s="20" t="s">
        <v>1034</v>
      </c>
      <c r="H33" s="20">
        <v>19</v>
      </c>
      <c r="I33" s="20" t="s">
        <v>1034</v>
      </c>
      <c r="J33" s="21" t="b">
        <v>0</v>
      </c>
      <c r="K33" s="21" t="b">
        <v>0</v>
      </c>
      <c r="L33" s="18">
        <f>COUNTIF(C$2:C268,C33)</f>
        <v>2</v>
      </c>
      <c r="M33" s="18" t="s">
        <v>548</v>
      </c>
      <c r="N33" s="18" t="s">
        <v>547</v>
      </c>
      <c r="O33" s="18" t="s">
        <v>12</v>
      </c>
      <c r="P33" s="33" t="s">
        <v>12</v>
      </c>
    </row>
    <row r="34" spans="1:16" ht="16" customHeight="1">
      <c r="A34" s="32" t="s">
        <v>106</v>
      </c>
      <c r="B34" s="18" t="s">
        <v>1329</v>
      </c>
      <c r="C34" s="18" t="s">
        <v>621</v>
      </c>
      <c r="D34" s="22" t="s">
        <v>694</v>
      </c>
      <c r="E34" s="19" t="s">
        <v>712</v>
      </c>
      <c r="F34" s="20">
        <v>19</v>
      </c>
      <c r="G34" s="20" t="s">
        <v>1034</v>
      </c>
      <c r="H34" s="20">
        <v>19</v>
      </c>
      <c r="I34" s="20" t="s">
        <v>1034</v>
      </c>
      <c r="J34" s="21" t="b">
        <v>0</v>
      </c>
      <c r="K34" s="21" t="b">
        <v>0</v>
      </c>
      <c r="L34" s="18">
        <f>COUNTIF(C$2:C269,C34)</f>
        <v>2</v>
      </c>
      <c r="M34" s="18" t="s">
        <v>548</v>
      </c>
      <c r="N34" s="18" t="s">
        <v>547</v>
      </c>
      <c r="O34" s="18" t="s">
        <v>12</v>
      </c>
      <c r="P34" s="33" t="s">
        <v>12</v>
      </c>
    </row>
    <row r="35" spans="1:16" ht="16" customHeight="1">
      <c r="A35" s="32" t="s">
        <v>106</v>
      </c>
      <c r="B35" s="18" t="s">
        <v>1329</v>
      </c>
      <c r="C35" s="18" t="s">
        <v>667</v>
      </c>
      <c r="D35" s="19" t="s">
        <v>668</v>
      </c>
      <c r="E35" s="19" t="s">
        <v>511</v>
      </c>
      <c r="F35" s="20">
        <v>7</v>
      </c>
      <c r="G35" s="20" t="s">
        <v>669</v>
      </c>
      <c r="H35" s="20">
        <v>7</v>
      </c>
      <c r="I35" s="20" t="s">
        <v>670</v>
      </c>
      <c r="J35" s="21" t="b">
        <v>0</v>
      </c>
      <c r="K35" s="21" t="b">
        <v>1</v>
      </c>
      <c r="L35" s="18">
        <f>COUNTIF(C$2:C270,C35)</f>
        <v>1</v>
      </c>
      <c r="M35" s="18" t="s">
        <v>548</v>
      </c>
      <c r="N35" s="18" t="s">
        <v>547</v>
      </c>
      <c r="O35" s="18" t="s">
        <v>12</v>
      </c>
      <c r="P35" s="33" t="s">
        <v>12</v>
      </c>
    </row>
    <row r="36" spans="1:16" ht="16" customHeight="1">
      <c r="A36" s="32" t="s">
        <v>106</v>
      </c>
      <c r="B36" s="18" t="s">
        <v>1329</v>
      </c>
      <c r="C36" s="18" t="s">
        <v>812</v>
      </c>
      <c r="D36" s="19" t="s">
        <v>739</v>
      </c>
      <c r="E36" s="19" t="s">
        <v>511</v>
      </c>
      <c r="F36" s="20">
        <v>7</v>
      </c>
      <c r="G36" s="20" t="s">
        <v>813</v>
      </c>
      <c r="H36" s="20">
        <v>7</v>
      </c>
      <c r="I36" s="20" t="s">
        <v>670</v>
      </c>
      <c r="J36" s="21" t="b">
        <v>0</v>
      </c>
      <c r="K36" s="21" t="b">
        <v>1</v>
      </c>
      <c r="L36" s="18">
        <f>COUNTIF(C$2:C271,C36)</f>
        <v>1</v>
      </c>
      <c r="M36" s="18" t="s">
        <v>548</v>
      </c>
      <c r="N36" s="18" t="s">
        <v>547</v>
      </c>
      <c r="O36" s="18" t="s">
        <v>12</v>
      </c>
      <c r="P36" s="33" t="s">
        <v>12</v>
      </c>
    </row>
    <row r="37" spans="1:16" ht="16" customHeight="1">
      <c r="A37" s="32" t="s">
        <v>106</v>
      </c>
      <c r="B37" s="18" t="s">
        <v>1329</v>
      </c>
      <c r="C37" s="18" t="s">
        <v>851</v>
      </c>
      <c r="D37" s="19" t="s">
        <v>745</v>
      </c>
      <c r="E37" s="19" t="s">
        <v>511</v>
      </c>
      <c r="F37" s="20">
        <v>7</v>
      </c>
      <c r="G37" s="20" t="s">
        <v>813</v>
      </c>
      <c r="H37" s="20">
        <v>7</v>
      </c>
      <c r="I37" s="20" t="s">
        <v>670</v>
      </c>
      <c r="J37" s="21" t="b">
        <v>0</v>
      </c>
      <c r="K37" s="21" t="b">
        <v>1</v>
      </c>
      <c r="L37" s="18">
        <f>COUNTIF(C$2:C272,C37)</f>
        <v>1</v>
      </c>
      <c r="M37" s="18" t="s">
        <v>548</v>
      </c>
      <c r="N37" s="18" t="s">
        <v>547</v>
      </c>
      <c r="O37" s="18" t="s">
        <v>12</v>
      </c>
      <c r="P37" s="33" t="s">
        <v>12</v>
      </c>
    </row>
    <row r="38" spans="1:16" ht="16" customHeight="1">
      <c r="A38" s="32" t="s">
        <v>99</v>
      </c>
      <c r="B38" s="18" t="s">
        <v>1329</v>
      </c>
      <c r="C38" s="19" t="s">
        <v>844</v>
      </c>
      <c r="D38" s="19" t="s">
        <v>787</v>
      </c>
      <c r="E38" s="19" t="s">
        <v>519</v>
      </c>
      <c r="F38" s="20">
        <v>7</v>
      </c>
      <c r="G38" s="20" t="s">
        <v>642</v>
      </c>
      <c r="H38" s="20">
        <v>7</v>
      </c>
      <c r="I38" s="20" t="s">
        <v>845</v>
      </c>
      <c r="J38" s="21" t="b">
        <v>0</v>
      </c>
      <c r="K38" s="21" t="b">
        <v>1</v>
      </c>
      <c r="L38" s="18">
        <f>COUNTIF(C$2:C273,C38)</f>
        <v>1</v>
      </c>
      <c r="M38" s="18" t="s">
        <v>547</v>
      </c>
      <c r="N38" s="18" t="s">
        <v>547</v>
      </c>
      <c r="O38" s="18" t="s">
        <v>12</v>
      </c>
      <c r="P38" s="33" t="s">
        <v>12</v>
      </c>
    </row>
    <row r="39" spans="1:16" ht="16" customHeight="1">
      <c r="A39" s="32" t="s">
        <v>42</v>
      </c>
      <c r="B39" s="18" t="s">
        <v>1329</v>
      </c>
      <c r="C39" s="19" t="s">
        <v>710</v>
      </c>
      <c r="D39" s="19" t="s">
        <v>317</v>
      </c>
      <c r="E39" s="19" t="s">
        <v>317</v>
      </c>
      <c r="F39" s="20">
        <v>6</v>
      </c>
      <c r="G39" s="20" t="s">
        <v>669</v>
      </c>
      <c r="H39" s="20">
        <v>6</v>
      </c>
      <c r="I39" s="20" t="s">
        <v>669</v>
      </c>
      <c r="J39" s="21" t="b">
        <v>0</v>
      </c>
      <c r="K39" s="21" t="b">
        <v>0</v>
      </c>
      <c r="L39" s="18">
        <f>COUNTIF(C$2:C274,C39)</f>
        <v>1</v>
      </c>
      <c r="M39" s="18" t="s">
        <v>547</v>
      </c>
      <c r="N39" s="18" t="s">
        <v>547</v>
      </c>
      <c r="O39" s="18" t="s">
        <v>12</v>
      </c>
      <c r="P39" s="33" t="s">
        <v>12</v>
      </c>
    </row>
    <row r="40" spans="1:16" ht="16" customHeight="1">
      <c r="A40" s="32" t="s">
        <v>42</v>
      </c>
      <c r="B40" s="18" t="s">
        <v>1329</v>
      </c>
      <c r="C40" s="19" t="s">
        <v>794</v>
      </c>
      <c r="D40" s="19" t="s">
        <v>484</v>
      </c>
      <c r="E40" s="19" t="s">
        <v>688</v>
      </c>
      <c r="F40" s="20">
        <v>6</v>
      </c>
      <c r="G40" s="20" t="s">
        <v>574</v>
      </c>
      <c r="H40" s="20">
        <v>6</v>
      </c>
      <c r="I40" s="20" t="s">
        <v>669</v>
      </c>
      <c r="J40" s="21" t="b">
        <v>0</v>
      </c>
      <c r="K40" s="21" t="b">
        <v>0</v>
      </c>
      <c r="L40" s="18">
        <f>COUNTIF(C$2:C275,C40)</f>
        <v>1</v>
      </c>
      <c r="M40" s="18" t="s">
        <v>547</v>
      </c>
      <c r="N40" s="18" t="s">
        <v>548</v>
      </c>
      <c r="O40" s="18" t="s">
        <v>12</v>
      </c>
      <c r="P40" s="33" t="s">
        <v>12</v>
      </c>
    </row>
    <row r="41" spans="1:16" ht="16" customHeight="1">
      <c r="A41" s="32" t="s">
        <v>42</v>
      </c>
      <c r="B41" s="18" t="s">
        <v>1329</v>
      </c>
      <c r="C41" s="19" t="s">
        <v>686</v>
      </c>
      <c r="D41" s="22" t="s">
        <v>687</v>
      </c>
      <c r="E41" s="19" t="s">
        <v>688</v>
      </c>
      <c r="F41" s="20">
        <v>12</v>
      </c>
      <c r="G41" s="20" t="s">
        <v>653</v>
      </c>
      <c r="H41" s="20">
        <v>6</v>
      </c>
      <c r="I41" s="20" t="s">
        <v>669</v>
      </c>
      <c r="J41" s="21" t="b">
        <v>0</v>
      </c>
      <c r="K41" s="21" t="b">
        <v>0</v>
      </c>
      <c r="L41" s="18">
        <f>COUNTIF(C$2:C276,C41)</f>
        <v>1</v>
      </c>
      <c r="M41" s="18" t="s">
        <v>547</v>
      </c>
      <c r="N41" s="18" t="s">
        <v>548</v>
      </c>
      <c r="O41" s="18" t="s">
        <v>12</v>
      </c>
      <c r="P41" s="33" t="s">
        <v>12</v>
      </c>
    </row>
    <row r="42" spans="1:16" ht="16" customHeight="1">
      <c r="A42" s="32" t="s">
        <v>87</v>
      </c>
      <c r="B42" s="18" t="s">
        <v>1329</v>
      </c>
      <c r="C42" s="18" t="s">
        <v>599</v>
      </c>
      <c r="D42" s="19" t="s">
        <v>600</v>
      </c>
      <c r="E42" s="19" t="s">
        <v>600</v>
      </c>
      <c r="F42" s="20">
        <v>4</v>
      </c>
      <c r="G42" s="20" t="s">
        <v>601</v>
      </c>
      <c r="H42" s="20">
        <v>4</v>
      </c>
      <c r="I42" s="20" t="s">
        <v>601</v>
      </c>
      <c r="J42" s="21" t="b">
        <v>0</v>
      </c>
      <c r="K42" s="21" t="b">
        <v>0</v>
      </c>
      <c r="L42" s="18">
        <f>COUNTIF(C$2:C277,C42)</f>
        <v>1</v>
      </c>
      <c r="M42" s="18" t="s">
        <v>548</v>
      </c>
      <c r="N42" s="18" t="s">
        <v>547</v>
      </c>
      <c r="O42" s="18" t="s">
        <v>12</v>
      </c>
      <c r="P42" s="33" t="s">
        <v>12</v>
      </c>
    </row>
    <row r="43" spans="1:16" ht="16" customHeight="1">
      <c r="A43" s="32" t="s">
        <v>89</v>
      </c>
      <c r="B43" s="18" t="s">
        <v>1329</v>
      </c>
      <c r="C43" s="18" t="s">
        <v>848</v>
      </c>
      <c r="D43" s="19" t="s">
        <v>784</v>
      </c>
      <c r="E43" s="19" t="s">
        <v>784</v>
      </c>
      <c r="F43" s="20">
        <v>7</v>
      </c>
      <c r="G43" s="20" t="s">
        <v>601</v>
      </c>
      <c r="H43" s="20">
        <v>7</v>
      </c>
      <c r="I43" s="20" t="s">
        <v>601</v>
      </c>
      <c r="J43" s="21" t="b">
        <v>0</v>
      </c>
      <c r="K43" s="21" t="b">
        <v>0</v>
      </c>
      <c r="L43" s="18">
        <f>COUNTIF(C$2:C278,C43)</f>
        <v>1</v>
      </c>
      <c r="M43" s="18" t="s">
        <v>548</v>
      </c>
      <c r="N43" s="18" t="s">
        <v>547</v>
      </c>
      <c r="O43" s="18" t="s">
        <v>12</v>
      </c>
      <c r="P43" s="33" t="s">
        <v>12</v>
      </c>
    </row>
    <row r="44" spans="1:16" ht="16" customHeight="1">
      <c r="A44" s="32" t="s">
        <v>42</v>
      </c>
      <c r="B44" s="18" t="s">
        <v>1329</v>
      </c>
      <c r="C44" s="18" t="s">
        <v>672</v>
      </c>
      <c r="D44" s="19" t="s">
        <v>673</v>
      </c>
      <c r="E44" s="19" t="s">
        <v>374</v>
      </c>
      <c r="F44" s="20">
        <v>8</v>
      </c>
      <c r="G44" s="20" t="s">
        <v>674</v>
      </c>
      <c r="H44" s="20">
        <v>19</v>
      </c>
      <c r="I44" s="20" t="s">
        <v>675</v>
      </c>
      <c r="J44" s="21" t="b">
        <v>0</v>
      </c>
      <c r="K44" s="21" t="b">
        <v>0</v>
      </c>
      <c r="L44" s="18">
        <f>COUNTIF(C$2:C279,C44)</f>
        <v>1</v>
      </c>
      <c r="M44" s="18" t="s">
        <v>548</v>
      </c>
      <c r="N44" s="18" t="s">
        <v>547</v>
      </c>
      <c r="O44" s="18" t="s">
        <v>12</v>
      </c>
      <c r="P44" s="33" t="s">
        <v>12</v>
      </c>
    </row>
    <row r="45" spans="1:16" ht="16" customHeight="1">
      <c r="A45" s="32" t="s">
        <v>44</v>
      </c>
      <c r="B45" s="18" t="s">
        <v>1329</v>
      </c>
      <c r="C45" s="19" t="s">
        <v>770</v>
      </c>
      <c r="D45" s="19" t="s">
        <v>901</v>
      </c>
      <c r="E45" s="19" t="s">
        <v>977</v>
      </c>
      <c r="F45" s="20">
        <v>4</v>
      </c>
      <c r="G45" s="20" t="s">
        <v>978</v>
      </c>
      <c r="H45" s="20">
        <v>9</v>
      </c>
      <c r="I45" s="20" t="s">
        <v>979</v>
      </c>
      <c r="J45" s="21" t="b">
        <v>0</v>
      </c>
      <c r="K45" s="21" t="b">
        <v>0</v>
      </c>
      <c r="L45" s="18">
        <f>COUNTIF(C$2:C280,C45)</f>
        <v>1</v>
      </c>
      <c r="M45" s="18" t="s">
        <v>547</v>
      </c>
      <c r="N45" s="18" t="s">
        <v>548</v>
      </c>
      <c r="O45" s="18" t="s">
        <v>12</v>
      </c>
      <c r="P45" s="33" t="s">
        <v>12</v>
      </c>
    </row>
    <row r="46" spans="1:16" ht="16" customHeight="1">
      <c r="A46" s="32" t="s">
        <v>106</v>
      </c>
      <c r="B46" s="18" t="s">
        <v>1329</v>
      </c>
      <c r="C46" s="18" t="s">
        <v>816</v>
      </c>
      <c r="D46" s="19" t="s">
        <v>739</v>
      </c>
      <c r="E46" s="19" t="s">
        <v>739</v>
      </c>
      <c r="F46" s="20">
        <v>7</v>
      </c>
      <c r="G46" s="20" t="s">
        <v>813</v>
      </c>
      <c r="H46" s="20">
        <v>7</v>
      </c>
      <c r="I46" s="20" t="s">
        <v>813</v>
      </c>
      <c r="J46" s="21" t="b">
        <v>0</v>
      </c>
      <c r="K46" s="21" t="b">
        <v>0</v>
      </c>
      <c r="L46" s="18">
        <f>COUNTIF(C$2:C281,C46)</f>
        <v>1</v>
      </c>
      <c r="M46" s="18" t="s">
        <v>548</v>
      </c>
      <c r="N46" s="18" t="s">
        <v>547</v>
      </c>
      <c r="O46" s="18" t="s">
        <v>12</v>
      </c>
      <c r="P46" s="33" t="s">
        <v>12</v>
      </c>
    </row>
    <row r="47" spans="1:16" ht="16" customHeight="1">
      <c r="A47" s="32" t="s">
        <v>106</v>
      </c>
      <c r="B47" s="18" t="s">
        <v>1329</v>
      </c>
      <c r="C47" s="19" t="s">
        <v>854</v>
      </c>
      <c r="D47" s="19" t="s">
        <v>745</v>
      </c>
      <c r="E47" s="19" t="s">
        <v>745</v>
      </c>
      <c r="F47" s="20">
        <v>7</v>
      </c>
      <c r="G47" s="20" t="s">
        <v>813</v>
      </c>
      <c r="H47" s="20">
        <v>7</v>
      </c>
      <c r="I47" s="20" t="s">
        <v>813</v>
      </c>
      <c r="J47" s="21" t="b">
        <v>0</v>
      </c>
      <c r="K47" s="21" t="b">
        <v>0</v>
      </c>
      <c r="L47" s="18">
        <f>COUNTIF(C$2:C282,C47)</f>
        <v>1</v>
      </c>
      <c r="M47" s="18" t="s">
        <v>547</v>
      </c>
      <c r="N47" s="18" t="s">
        <v>547</v>
      </c>
      <c r="O47" s="18" t="s">
        <v>12</v>
      </c>
      <c r="P47" s="33" t="s">
        <v>12</v>
      </c>
    </row>
    <row r="48" spans="1:16" ht="16" customHeight="1">
      <c r="A48" s="32" t="s">
        <v>106</v>
      </c>
      <c r="B48" s="18" t="s">
        <v>1329</v>
      </c>
      <c r="C48" s="18" t="s">
        <v>872</v>
      </c>
      <c r="D48" s="22" t="s">
        <v>937</v>
      </c>
      <c r="E48" s="19" t="s">
        <v>785</v>
      </c>
      <c r="F48" s="20">
        <v>7</v>
      </c>
      <c r="G48" s="20" t="s">
        <v>642</v>
      </c>
      <c r="H48" s="20">
        <v>7</v>
      </c>
      <c r="I48" s="20" t="s">
        <v>813</v>
      </c>
      <c r="J48" s="21" t="b">
        <v>0</v>
      </c>
      <c r="K48" s="21" t="b">
        <v>0</v>
      </c>
      <c r="L48" s="18">
        <f>COUNTIF(C$2:C283,C48)</f>
        <v>1</v>
      </c>
      <c r="M48" s="18" t="s">
        <v>548</v>
      </c>
      <c r="N48" s="18" t="s">
        <v>547</v>
      </c>
      <c r="O48" s="18" t="s">
        <v>12</v>
      </c>
      <c r="P48" s="33" t="s">
        <v>12</v>
      </c>
    </row>
    <row r="49" spans="1:16" ht="16" customHeight="1">
      <c r="A49" s="32" t="s">
        <v>106</v>
      </c>
      <c r="B49" s="18" t="s">
        <v>1329</v>
      </c>
      <c r="C49" s="18" t="s">
        <v>875</v>
      </c>
      <c r="D49" s="22" t="s">
        <v>655</v>
      </c>
      <c r="E49" s="19" t="s">
        <v>964</v>
      </c>
      <c r="F49" s="20">
        <v>7</v>
      </c>
      <c r="G49" s="20" t="s">
        <v>642</v>
      </c>
      <c r="H49" s="20">
        <v>7</v>
      </c>
      <c r="I49" s="20" t="s">
        <v>965</v>
      </c>
      <c r="J49" s="21" t="b">
        <v>0</v>
      </c>
      <c r="K49" s="21" t="b">
        <v>0</v>
      </c>
      <c r="L49" s="18">
        <f>COUNTIF(C$2:C284,C49)</f>
        <v>1</v>
      </c>
      <c r="M49" s="18" t="s">
        <v>548</v>
      </c>
      <c r="N49" s="18" t="s">
        <v>547</v>
      </c>
      <c r="O49" s="18" t="s">
        <v>12</v>
      </c>
      <c r="P49" s="33" t="s">
        <v>12</v>
      </c>
    </row>
    <row r="50" spans="1:16" ht="16" customHeight="1">
      <c r="A50" s="32" t="s">
        <v>99</v>
      </c>
      <c r="B50" s="18" t="s">
        <v>1329</v>
      </c>
      <c r="C50" s="18" t="s">
        <v>756</v>
      </c>
      <c r="D50" s="19" t="s">
        <v>757</v>
      </c>
      <c r="E50" s="19" t="s">
        <v>750</v>
      </c>
      <c r="F50" s="20">
        <v>5</v>
      </c>
      <c r="G50" s="20" t="s">
        <v>727</v>
      </c>
      <c r="H50" s="20">
        <v>7</v>
      </c>
      <c r="I50" s="20" t="s">
        <v>751</v>
      </c>
      <c r="J50" s="21" t="b">
        <v>0</v>
      </c>
      <c r="K50" s="21" t="b">
        <v>0</v>
      </c>
      <c r="L50" s="18">
        <f>COUNTIF(C$2:C285,C50)</f>
        <v>1</v>
      </c>
      <c r="M50" s="18" t="s">
        <v>548</v>
      </c>
      <c r="N50" s="18" t="s">
        <v>547</v>
      </c>
      <c r="O50" s="18" t="s">
        <v>12</v>
      </c>
      <c r="P50" s="33" t="s">
        <v>12</v>
      </c>
    </row>
    <row r="51" spans="1:16" ht="16" customHeight="1">
      <c r="A51" s="32" t="s">
        <v>8</v>
      </c>
      <c r="B51" s="18" t="s">
        <v>1329</v>
      </c>
      <c r="C51" s="18" t="s">
        <v>602</v>
      </c>
      <c r="D51" s="19" t="s">
        <v>501</v>
      </c>
      <c r="E51" s="19" t="s">
        <v>701</v>
      </c>
      <c r="F51" s="20">
        <v>7</v>
      </c>
      <c r="G51" s="20" t="s">
        <v>592</v>
      </c>
      <c r="H51" s="20">
        <v>11</v>
      </c>
      <c r="I51" s="20" t="s">
        <v>751</v>
      </c>
      <c r="J51" s="21" t="b">
        <v>1</v>
      </c>
      <c r="K51" s="21" t="b">
        <v>0</v>
      </c>
      <c r="L51" s="18">
        <f>COUNTIF(C$2:C286,C51)</f>
        <v>2</v>
      </c>
      <c r="M51" s="18" t="s">
        <v>548</v>
      </c>
      <c r="N51" s="18" t="s">
        <v>547</v>
      </c>
      <c r="O51" s="18" t="s">
        <v>12</v>
      </c>
      <c r="P51" s="33" t="s">
        <v>12</v>
      </c>
    </row>
    <row r="52" spans="1:16" ht="16" customHeight="1">
      <c r="A52" s="32" t="s">
        <v>97</v>
      </c>
      <c r="B52" s="18" t="s">
        <v>1329</v>
      </c>
      <c r="C52" s="18" t="s">
        <v>602</v>
      </c>
      <c r="D52" s="22" t="s">
        <v>501</v>
      </c>
      <c r="E52" s="19" t="s">
        <v>701</v>
      </c>
      <c r="F52" s="20">
        <v>7</v>
      </c>
      <c r="G52" s="20" t="s">
        <v>592</v>
      </c>
      <c r="H52" s="20">
        <v>11</v>
      </c>
      <c r="I52" s="20" t="s">
        <v>751</v>
      </c>
      <c r="J52" s="21" t="b">
        <v>1</v>
      </c>
      <c r="K52" s="21" t="b">
        <v>0</v>
      </c>
      <c r="L52" s="18">
        <f>COUNTIF(C$2:C287,C52)</f>
        <v>2</v>
      </c>
      <c r="M52" s="18" t="s">
        <v>548</v>
      </c>
      <c r="N52" s="18" t="s">
        <v>547</v>
      </c>
      <c r="O52" s="18" t="s">
        <v>12</v>
      </c>
      <c r="P52" s="33" t="s">
        <v>12</v>
      </c>
    </row>
    <row r="53" spans="1:16" ht="16" customHeight="1">
      <c r="A53" s="34" t="s">
        <v>4</v>
      </c>
      <c r="B53" s="18" t="s">
        <v>1329</v>
      </c>
      <c r="C53" s="19" t="s">
        <v>864</v>
      </c>
      <c r="D53" s="19" t="s">
        <v>157</v>
      </c>
      <c r="E53" s="19" t="s">
        <v>157</v>
      </c>
      <c r="F53" s="20">
        <v>11</v>
      </c>
      <c r="G53" s="20" t="s">
        <v>865</v>
      </c>
      <c r="H53" s="20">
        <v>11</v>
      </c>
      <c r="I53" s="20" t="s">
        <v>865</v>
      </c>
      <c r="J53" s="21" t="b">
        <v>0</v>
      </c>
      <c r="K53" s="21" t="b">
        <v>0</v>
      </c>
      <c r="L53" s="18">
        <f>COUNTIF(C$2:C288,C53)</f>
        <v>1</v>
      </c>
      <c r="M53" s="18" t="s">
        <v>547</v>
      </c>
      <c r="N53" s="18" t="s">
        <v>548</v>
      </c>
      <c r="O53" s="18" t="s">
        <v>13</v>
      </c>
      <c r="P53" s="33" t="s">
        <v>12</v>
      </c>
    </row>
    <row r="54" spans="1:16" ht="16" customHeight="1">
      <c r="A54" s="32" t="s">
        <v>42</v>
      </c>
      <c r="B54" s="18" t="s">
        <v>1329</v>
      </c>
      <c r="C54" s="18" t="s">
        <v>678</v>
      </c>
      <c r="D54" s="19" t="s">
        <v>679</v>
      </c>
      <c r="E54" s="19" t="s">
        <v>680</v>
      </c>
      <c r="F54" s="20">
        <v>3</v>
      </c>
      <c r="G54" s="20" t="s">
        <v>574</v>
      </c>
      <c r="H54" s="20">
        <v>6</v>
      </c>
      <c r="I54" s="20" t="s">
        <v>574</v>
      </c>
      <c r="J54" s="21" t="b">
        <v>0</v>
      </c>
      <c r="K54" s="21" t="b">
        <v>0</v>
      </c>
      <c r="L54" s="18">
        <f>COUNTIF(C$2:C289,C54)</f>
        <v>1</v>
      </c>
      <c r="M54" s="18" t="s">
        <v>548</v>
      </c>
      <c r="N54" s="18" t="s">
        <v>547</v>
      </c>
      <c r="O54" s="18" t="s">
        <v>12</v>
      </c>
      <c r="P54" s="33" t="s">
        <v>12</v>
      </c>
    </row>
    <row r="55" spans="1:16" ht="16" customHeight="1">
      <c r="A55" s="32" t="s">
        <v>42</v>
      </c>
      <c r="B55" s="18" t="s">
        <v>1329</v>
      </c>
      <c r="C55" s="18" t="s">
        <v>781</v>
      </c>
      <c r="D55" s="19" t="s">
        <v>916</v>
      </c>
      <c r="E55" s="19" t="s">
        <v>604</v>
      </c>
      <c r="F55" s="20">
        <v>4</v>
      </c>
      <c r="G55" s="20" t="s">
        <v>684</v>
      </c>
      <c r="H55" s="20">
        <v>6</v>
      </c>
      <c r="I55" s="20" t="s">
        <v>574</v>
      </c>
      <c r="J55" s="21" t="b">
        <v>0</v>
      </c>
      <c r="K55" s="21" t="b">
        <v>0</v>
      </c>
      <c r="L55" s="18">
        <f>COUNTIF(C$2:C290,C55)</f>
        <v>1</v>
      </c>
      <c r="M55" s="18" t="s">
        <v>548</v>
      </c>
      <c r="N55" s="18" t="s">
        <v>547</v>
      </c>
      <c r="O55" s="18" t="s">
        <v>12</v>
      </c>
      <c r="P55" s="33" t="s">
        <v>12</v>
      </c>
    </row>
    <row r="56" spans="1:16" ht="16" customHeight="1">
      <c r="A56" s="32" t="s">
        <v>42</v>
      </c>
      <c r="B56" s="18" t="s">
        <v>1329</v>
      </c>
      <c r="C56" s="18" t="s">
        <v>662</v>
      </c>
      <c r="D56" s="19" t="s">
        <v>663</v>
      </c>
      <c r="E56" s="19" t="s">
        <v>664</v>
      </c>
      <c r="F56" s="20">
        <v>6</v>
      </c>
      <c r="G56" s="20" t="s">
        <v>574</v>
      </c>
      <c r="H56" s="20">
        <v>6</v>
      </c>
      <c r="I56" s="20" t="s">
        <v>574</v>
      </c>
      <c r="J56" s="21" t="b">
        <v>0</v>
      </c>
      <c r="K56" s="21" t="b">
        <v>0</v>
      </c>
      <c r="L56" s="18">
        <f>COUNTIF(C$2:C291,C56)</f>
        <v>1</v>
      </c>
      <c r="M56" s="18" t="s">
        <v>548</v>
      </c>
      <c r="N56" s="18" t="s">
        <v>547</v>
      </c>
      <c r="O56" s="18" t="s">
        <v>12</v>
      </c>
      <c r="P56" s="33" t="s">
        <v>12</v>
      </c>
    </row>
    <row r="57" spans="1:16" ht="16" customHeight="1">
      <c r="A57" s="32" t="s">
        <v>42</v>
      </c>
      <c r="B57" s="18" t="s">
        <v>1329</v>
      </c>
      <c r="C57" s="18" t="s">
        <v>798</v>
      </c>
      <c r="D57" s="19" t="s">
        <v>921</v>
      </c>
      <c r="E57" s="19" t="s">
        <v>975</v>
      </c>
      <c r="F57" s="20">
        <v>6</v>
      </c>
      <c r="G57" s="20" t="s">
        <v>574</v>
      </c>
      <c r="H57" s="20">
        <v>6</v>
      </c>
      <c r="I57" s="20" t="s">
        <v>574</v>
      </c>
      <c r="J57" s="21" t="b">
        <v>0</v>
      </c>
      <c r="K57" s="21" t="b">
        <v>0</v>
      </c>
      <c r="L57" s="18">
        <f>COUNTIF(C$2:C292,C57)</f>
        <v>1</v>
      </c>
      <c r="M57" s="18" t="s">
        <v>548</v>
      </c>
      <c r="N57" s="18" t="s">
        <v>547</v>
      </c>
      <c r="O57" s="18" t="s">
        <v>12</v>
      </c>
      <c r="P57" s="33" t="s">
        <v>12</v>
      </c>
    </row>
    <row r="58" spans="1:16" ht="16" customHeight="1">
      <c r="A58" s="32" t="s">
        <v>42</v>
      </c>
      <c r="B58" s="18" t="s">
        <v>1329</v>
      </c>
      <c r="C58" s="19" t="s">
        <v>801</v>
      </c>
      <c r="D58" s="19" t="s">
        <v>604</v>
      </c>
      <c r="E58" s="19" t="s">
        <v>604</v>
      </c>
      <c r="F58" s="20">
        <v>6</v>
      </c>
      <c r="G58" s="20" t="s">
        <v>574</v>
      </c>
      <c r="H58" s="20">
        <v>6</v>
      </c>
      <c r="I58" s="20" t="s">
        <v>574</v>
      </c>
      <c r="J58" s="21" t="b">
        <v>0</v>
      </c>
      <c r="K58" s="21" t="b">
        <v>0</v>
      </c>
      <c r="L58" s="18">
        <f>COUNTIF(C$2:C293,C58)</f>
        <v>1</v>
      </c>
      <c r="M58" s="18" t="s">
        <v>547</v>
      </c>
      <c r="N58" s="18" t="s">
        <v>548</v>
      </c>
      <c r="O58" s="18" t="s">
        <v>12</v>
      </c>
      <c r="P58" s="33" t="s">
        <v>12</v>
      </c>
    </row>
    <row r="59" spans="1:16" ht="16" customHeight="1">
      <c r="A59" s="34" t="s">
        <v>4</v>
      </c>
      <c r="B59" s="18" t="s">
        <v>1329</v>
      </c>
      <c r="C59" s="19" t="s">
        <v>573</v>
      </c>
      <c r="D59" s="19" t="s">
        <v>148</v>
      </c>
      <c r="E59" s="19" t="s">
        <v>148</v>
      </c>
      <c r="F59" s="20">
        <v>9</v>
      </c>
      <c r="G59" s="20" t="s">
        <v>574</v>
      </c>
      <c r="H59" s="20">
        <v>9</v>
      </c>
      <c r="I59" s="20" t="s">
        <v>574</v>
      </c>
      <c r="J59" s="21" t="b">
        <v>1</v>
      </c>
      <c r="K59" s="21" t="b">
        <v>1</v>
      </c>
      <c r="L59" s="18">
        <f>COUNTIF(C$2:C294,C59)</f>
        <v>1</v>
      </c>
      <c r="M59" s="18" t="s">
        <v>547</v>
      </c>
      <c r="N59" s="18" t="s">
        <v>548</v>
      </c>
      <c r="O59" s="18" t="s">
        <v>13</v>
      </c>
      <c r="P59" s="33" t="s">
        <v>12</v>
      </c>
    </row>
    <row r="60" spans="1:16" ht="16" customHeight="1">
      <c r="A60" s="32" t="s">
        <v>42</v>
      </c>
      <c r="B60" s="18" t="s">
        <v>1329</v>
      </c>
      <c r="C60" s="19" t="s">
        <v>603</v>
      </c>
      <c r="D60" s="19" t="s">
        <v>563</v>
      </c>
      <c r="E60" s="19" t="s">
        <v>604</v>
      </c>
      <c r="F60" s="20">
        <v>12</v>
      </c>
      <c r="G60" s="20" t="s">
        <v>605</v>
      </c>
      <c r="H60" s="20">
        <v>6</v>
      </c>
      <c r="I60" s="20" t="s">
        <v>574</v>
      </c>
      <c r="J60" s="21" t="b">
        <v>1</v>
      </c>
      <c r="K60" s="21" t="b">
        <v>0</v>
      </c>
      <c r="L60" s="18">
        <f>COUNTIF(C$2:C295,C60)</f>
        <v>1</v>
      </c>
      <c r="M60" s="18" t="s">
        <v>547</v>
      </c>
      <c r="N60" s="18" t="s">
        <v>548</v>
      </c>
      <c r="O60" s="18" t="s">
        <v>12</v>
      </c>
      <c r="P60" s="33" t="s">
        <v>12</v>
      </c>
    </row>
    <row r="61" spans="1:16" ht="16" customHeight="1">
      <c r="A61" s="32" t="s">
        <v>42</v>
      </c>
      <c r="B61" s="18" t="s">
        <v>1329</v>
      </c>
      <c r="C61" s="19" t="s">
        <v>984</v>
      </c>
      <c r="D61" s="19" t="s">
        <v>558</v>
      </c>
      <c r="E61" s="19" t="s">
        <v>680</v>
      </c>
      <c r="F61" s="20">
        <v>12</v>
      </c>
      <c r="G61" s="20" t="s">
        <v>620</v>
      </c>
      <c r="H61" s="20">
        <v>6</v>
      </c>
      <c r="I61" s="20" t="s">
        <v>574</v>
      </c>
      <c r="J61" s="21" t="b">
        <v>1</v>
      </c>
      <c r="K61" s="21" t="b">
        <v>0</v>
      </c>
      <c r="L61" s="18">
        <f>COUNTIF(C$2:C296,C61)</f>
        <v>1</v>
      </c>
      <c r="M61" s="18" t="s">
        <v>547</v>
      </c>
      <c r="N61" s="18" t="s">
        <v>548</v>
      </c>
      <c r="O61" s="18" t="s">
        <v>12</v>
      </c>
      <c r="P61" s="33" t="s">
        <v>12</v>
      </c>
    </row>
    <row r="62" spans="1:16" ht="16" customHeight="1">
      <c r="A62" s="34" t="s">
        <v>4</v>
      </c>
      <c r="B62" s="18" t="s">
        <v>1329</v>
      </c>
      <c r="C62" s="19" t="s">
        <v>650</v>
      </c>
      <c r="D62" s="19" t="s">
        <v>127</v>
      </c>
      <c r="E62" s="19" t="s">
        <v>147</v>
      </c>
      <c r="F62" s="20">
        <v>1</v>
      </c>
      <c r="G62" s="20" t="s">
        <v>656</v>
      </c>
      <c r="H62" s="20">
        <v>1</v>
      </c>
      <c r="I62" s="20" t="s">
        <v>886</v>
      </c>
      <c r="J62" s="21" t="b">
        <v>0</v>
      </c>
      <c r="K62" s="21" t="b">
        <v>0</v>
      </c>
      <c r="L62" s="18">
        <f>COUNTIF(C$2:C297,C62)</f>
        <v>1</v>
      </c>
      <c r="M62" s="18" t="s">
        <v>547</v>
      </c>
      <c r="N62" s="18" t="s">
        <v>548</v>
      </c>
      <c r="O62" s="18" t="s">
        <v>13</v>
      </c>
      <c r="P62" s="33" t="s">
        <v>12</v>
      </c>
    </row>
    <row r="63" spans="1:16" ht="16" customHeight="1">
      <c r="A63" s="32" t="s">
        <v>62</v>
      </c>
      <c r="B63" s="18" t="s">
        <v>1329</v>
      </c>
      <c r="C63" s="18" t="s">
        <v>951</v>
      </c>
      <c r="D63" s="19" t="s">
        <v>846</v>
      </c>
      <c r="E63" s="19" t="s">
        <v>846</v>
      </c>
      <c r="F63" s="20" t="s">
        <v>952</v>
      </c>
      <c r="G63" s="20" t="s">
        <v>886</v>
      </c>
      <c r="H63" s="20" t="s">
        <v>952</v>
      </c>
      <c r="I63" s="20" t="s">
        <v>886</v>
      </c>
      <c r="J63" s="21" t="b">
        <v>0</v>
      </c>
      <c r="K63" s="21" t="b">
        <v>0</v>
      </c>
      <c r="L63" s="18">
        <f>COUNTIF(C$2:C298,C63)</f>
        <v>1</v>
      </c>
      <c r="M63" s="18" t="s">
        <v>548</v>
      </c>
      <c r="N63" s="18" t="s">
        <v>547</v>
      </c>
      <c r="O63" s="18" t="s">
        <v>12</v>
      </c>
      <c r="P63" s="33" t="s">
        <v>12</v>
      </c>
    </row>
    <row r="64" spans="1:16" ht="16" customHeight="1">
      <c r="A64" s="32" t="s">
        <v>99</v>
      </c>
      <c r="B64" s="18" t="s">
        <v>1329</v>
      </c>
      <c r="C64" s="18" t="s">
        <v>593</v>
      </c>
      <c r="D64" s="19" t="s">
        <v>638</v>
      </c>
      <c r="E64" s="19" t="s">
        <v>638</v>
      </c>
      <c r="F64" s="20">
        <v>6</v>
      </c>
      <c r="G64" s="20" t="s">
        <v>717</v>
      </c>
      <c r="H64" s="20">
        <v>6</v>
      </c>
      <c r="I64" s="20" t="s">
        <v>717</v>
      </c>
      <c r="J64" s="21" t="b">
        <v>0</v>
      </c>
      <c r="K64" s="21" t="b">
        <v>0</v>
      </c>
      <c r="L64" s="18">
        <f>COUNTIF(C$2:C299,C64)</f>
        <v>2</v>
      </c>
      <c r="M64" s="18" t="s">
        <v>548</v>
      </c>
      <c r="N64" s="18" t="s">
        <v>547</v>
      </c>
      <c r="O64" s="18" t="s">
        <v>12</v>
      </c>
      <c r="P64" s="33" t="s">
        <v>12</v>
      </c>
    </row>
    <row r="65" spans="1:16" ht="16" customHeight="1">
      <c r="A65" s="32" t="s">
        <v>106</v>
      </c>
      <c r="B65" s="18" t="s">
        <v>1329</v>
      </c>
      <c r="C65" s="18" t="s">
        <v>593</v>
      </c>
      <c r="D65" s="19" t="s">
        <v>638</v>
      </c>
      <c r="E65" s="19" t="s">
        <v>638</v>
      </c>
      <c r="F65" s="20">
        <v>6</v>
      </c>
      <c r="G65" s="20" t="s">
        <v>717</v>
      </c>
      <c r="H65" s="20">
        <v>6</v>
      </c>
      <c r="I65" s="20" t="s">
        <v>717</v>
      </c>
      <c r="J65" s="21" t="b">
        <v>0</v>
      </c>
      <c r="K65" s="21" t="b">
        <v>0</v>
      </c>
      <c r="L65" s="18">
        <f>COUNTIF(C$2:C300,C65)</f>
        <v>2</v>
      </c>
      <c r="M65" s="18" t="s">
        <v>548</v>
      </c>
      <c r="N65" s="18" t="s">
        <v>547</v>
      </c>
      <c r="O65" s="18" t="s">
        <v>12</v>
      </c>
      <c r="P65" s="33" t="s">
        <v>12</v>
      </c>
    </row>
    <row r="66" spans="1:16" ht="16" customHeight="1">
      <c r="A66" s="32" t="s">
        <v>97</v>
      </c>
      <c r="B66" s="18" t="s">
        <v>1329</v>
      </c>
      <c r="C66" s="18" t="s">
        <v>855</v>
      </c>
      <c r="D66" s="22" t="s">
        <v>562</v>
      </c>
      <c r="E66" s="19" t="s">
        <v>856</v>
      </c>
      <c r="F66" s="20">
        <v>9</v>
      </c>
      <c r="G66" s="20" t="s">
        <v>717</v>
      </c>
      <c r="H66" s="20">
        <v>9</v>
      </c>
      <c r="I66" s="20" t="s">
        <v>717</v>
      </c>
      <c r="J66" s="21" t="b">
        <v>1</v>
      </c>
      <c r="K66" s="21" t="b">
        <v>0</v>
      </c>
      <c r="L66" s="18">
        <f>COUNTIF(C$2:C301,C66)</f>
        <v>1</v>
      </c>
      <c r="M66" s="18" t="s">
        <v>548</v>
      </c>
      <c r="N66" s="18" t="s">
        <v>547</v>
      </c>
      <c r="O66" s="18" t="s">
        <v>12</v>
      </c>
      <c r="P66" s="33" t="s">
        <v>12</v>
      </c>
    </row>
    <row r="67" spans="1:16" ht="16" customHeight="1">
      <c r="A67" s="34" t="s">
        <v>4</v>
      </c>
      <c r="B67" s="18" t="s">
        <v>1329</v>
      </c>
      <c r="C67" s="19" t="s">
        <v>630</v>
      </c>
      <c r="D67" s="19" t="s">
        <v>128</v>
      </c>
      <c r="E67" s="19" t="s">
        <v>146</v>
      </c>
      <c r="F67" s="20">
        <v>1</v>
      </c>
      <c r="G67" s="20" t="s">
        <v>656</v>
      </c>
      <c r="H67" s="20">
        <v>1</v>
      </c>
      <c r="I67" s="20" t="s">
        <v>656</v>
      </c>
      <c r="J67" s="21" t="b">
        <v>0</v>
      </c>
      <c r="K67" s="21" t="b">
        <v>0</v>
      </c>
      <c r="L67" s="18">
        <f>COUNTIF(C$2:C302,C67)</f>
        <v>1</v>
      </c>
      <c r="M67" s="18" t="s">
        <v>547</v>
      </c>
      <c r="N67" s="18" t="s">
        <v>548</v>
      </c>
      <c r="O67" s="18" t="s">
        <v>13</v>
      </c>
      <c r="P67" s="33" t="s">
        <v>12</v>
      </c>
    </row>
    <row r="68" spans="1:16" ht="16" customHeight="1">
      <c r="A68" s="34" t="s">
        <v>4</v>
      </c>
      <c r="B68" s="18" t="s">
        <v>1329</v>
      </c>
      <c r="C68" s="19" t="s">
        <v>637</v>
      </c>
      <c r="D68" s="19" t="s">
        <v>129</v>
      </c>
      <c r="E68" s="19" t="s">
        <v>129</v>
      </c>
      <c r="F68" s="20">
        <v>1</v>
      </c>
      <c r="G68" s="20" t="s">
        <v>656</v>
      </c>
      <c r="H68" s="20">
        <v>1</v>
      </c>
      <c r="I68" s="20" t="s">
        <v>656</v>
      </c>
      <c r="J68" s="21" t="b">
        <v>1</v>
      </c>
      <c r="K68" s="21" t="b">
        <v>1</v>
      </c>
      <c r="L68" s="18">
        <f>COUNTIF(C$2:C303,C68)</f>
        <v>1</v>
      </c>
      <c r="M68" s="18" t="s">
        <v>547</v>
      </c>
      <c r="N68" s="18" t="s">
        <v>548</v>
      </c>
      <c r="O68" s="18" t="s">
        <v>13</v>
      </c>
      <c r="P68" s="33" t="s">
        <v>12</v>
      </c>
    </row>
    <row r="69" spans="1:16" ht="16" customHeight="1">
      <c r="A69" s="34" t="s">
        <v>4</v>
      </c>
      <c r="B69" s="18" t="s">
        <v>1329</v>
      </c>
      <c r="C69" s="19" t="s">
        <v>644</v>
      </c>
      <c r="D69" s="19" t="s">
        <v>120</v>
      </c>
      <c r="E69" s="19" t="s">
        <v>127</v>
      </c>
      <c r="F69" s="20">
        <v>1</v>
      </c>
      <c r="G69" s="20" t="s">
        <v>656</v>
      </c>
      <c r="H69" s="20">
        <v>1</v>
      </c>
      <c r="I69" s="20" t="s">
        <v>656</v>
      </c>
      <c r="J69" s="21" t="b">
        <v>1</v>
      </c>
      <c r="K69" s="21" t="b">
        <v>0</v>
      </c>
      <c r="L69" s="18">
        <f>COUNTIF(C$2:C304,C69)</f>
        <v>1</v>
      </c>
      <c r="M69" s="18" t="s">
        <v>547</v>
      </c>
      <c r="N69" s="18" t="s">
        <v>548</v>
      </c>
      <c r="O69" s="18" t="s">
        <v>13</v>
      </c>
      <c r="P69" s="33" t="s">
        <v>12</v>
      </c>
    </row>
    <row r="70" spans="1:16" ht="16" customHeight="1">
      <c r="A70" s="34" t="s">
        <v>4</v>
      </c>
      <c r="B70" s="18" t="s">
        <v>1329</v>
      </c>
      <c r="C70" s="19" t="s">
        <v>671</v>
      </c>
      <c r="D70" s="19" t="s">
        <v>153</v>
      </c>
      <c r="E70" s="19" t="s">
        <v>142</v>
      </c>
      <c r="F70" s="20">
        <v>1</v>
      </c>
      <c r="G70" s="20" t="s">
        <v>695</v>
      </c>
      <c r="H70" s="20">
        <v>1</v>
      </c>
      <c r="I70" s="20" t="s">
        <v>596</v>
      </c>
      <c r="J70" s="21" t="b">
        <v>0</v>
      </c>
      <c r="K70" s="21" t="b">
        <v>0</v>
      </c>
      <c r="L70" s="18">
        <f>COUNTIF(C$2:C305,C70)</f>
        <v>1</v>
      </c>
      <c r="M70" s="18" t="s">
        <v>547</v>
      </c>
      <c r="N70" s="18" t="s">
        <v>548</v>
      </c>
      <c r="O70" s="18" t="s">
        <v>13</v>
      </c>
      <c r="P70" s="33" t="s">
        <v>12</v>
      </c>
    </row>
    <row r="71" spans="1:16" ht="16" customHeight="1">
      <c r="A71" s="34" t="s">
        <v>4</v>
      </c>
      <c r="B71" s="18" t="s">
        <v>1329</v>
      </c>
      <c r="C71" s="19" t="s">
        <v>661</v>
      </c>
      <c r="D71" s="19" t="s">
        <v>155</v>
      </c>
      <c r="E71" s="19" t="s">
        <v>145</v>
      </c>
      <c r="F71" s="20">
        <v>1</v>
      </c>
      <c r="G71" s="20" t="s">
        <v>713</v>
      </c>
      <c r="H71" s="20">
        <v>1</v>
      </c>
      <c r="I71" s="20" t="s">
        <v>596</v>
      </c>
      <c r="J71" s="21" t="b">
        <v>0</v>
      </c>
      <c r="K71" s="21" t="b">
        <v>0</v>
      </c>
      <c r="L71" s="18">
        <f>COUNTIF(C$2:C306,C71)</f>
        <v>1</v>
      </c>
      <c r="M71" s="18" t="s">
        <v>547</v>
      </c>
      <c r="N71" s="18" t="s">
        <v>548</v>
      </c>
      <c r="O71" s="18" t="s">
        <v>13</v>
      </c>
      <c r="P71" s="33" t="s">
        <v>12</v>
      </c>
    </row>
    <row r="72" spans="1:16" ht="16" customHeight="1">
      <c r="A72" s="34" t="s">
        <v>4</v>
      </c>
      <c r="B72" s="18" t="s">
        <v>1329</v>
      </c>
      <c r="C72" s="19" t="s">
        <v>665</v>
      </c>
      <c r="D72" s="19" t="s">
        <v>155</v>
      </c>
      <c r="E72" s="19" t="s">
        <v>809</v>
      </c>
      <c r="F72" s="20">
        <v>1</v>
      </c>
      <c r="G72" s="20" t="s">
        <v>713</v>
      </c>
      <c r="H72" s="20">
        <v>1</v>
      </c>
      <c r="I72" s="20" t="s">
        <v>596</v>
      </c>
      <c r="J72" s="21" t="b">
        <v>0</v>
      </c>
      <c r="K72" s="21" t="b">
        <v>0</v>
      </c>
      <c r="L72" s="18">
        <f>COUNTIF(C$2:C307,C72)</f>
        <v>1</v>
      </c>
      <c r="M72" s="18" t="s">
        <v>547</v>
      </c>
      <c r="N72" s="18" t="s">
        <v>548</v>
      </c>
      <c r="O72" s="18" t="s">
        <v>13</v>
      </c>
      <c r="P72" s="33" t="s">
        <v>12</v>
      </c>
    </row>
    <row r="73" spans="1:16" ht="16" customHeight="1">
      <c r="A73" s="34" t="s">
        <v>4</v>
      </c>
      <c r="B73" s="18" t="s">
        <v>1329</v>
      </c>
      <c r="C73" s="19" t="s">
        <v>676</v>
      </c>
      <c r="D73" s="19" t="s">
        <v>139</v>
      </c>
      <c r="E73" s="19" t="s">
        <v>150</v>
      </c>
      <c r="F73" s="20">
        <v>1</v>
      </c>
      <c r="G73" s="20" t="s">
        <v>695</v>
      </c>
      <c r="H73" s="20">
        <v>1</v>
      </c>
      <c r="I73" s="20" t="s">
        <v>596</v>
      </c>
      <c r="J73" s="21" t="b">
        <v>0</v>
      </c>
      <c r="K73" s="21" t="b">
        <v>0</v>
      </c>
      <c r="L73" s="18">
        <f>COUNTIF(C$2:C308,C73)</f>
        <v>1</v>
      </c>
      <c r="M73" s="18" t="s">
        <v>547</v>
      </c>
      <c r="N73" s="18" t="s">
        <v>548</v>
      </c>
      <c r="O73" s="18" t="s">
        <v>13</v>
      </c>
      <c r="P73" s="33" t="s">
        <v>12</v>
      </c>
    </row>
    <row r="74" spans="1:16" ht="16" customHeight="1">
      <c r="A74" s="34" t="s">
        <v>4</v>
      </c>
      <c r="B74" s="18" t="s">
        <v>1329</v>
      </c>
      <c r="C74" s="19" t="s">
        <v>594</v>
      </c>
      <c r="D74" s="19" t="s">
        <v>595</v>
      </c>
      <c r="E74" s="19" t="s">
        <v>144</v>
      </c>
      <c r="F74" s="20">
        <v>1</v>
      </c>
      <c r="G74" s="20" t="s">
        <v>713</v>
      </c>
      <c r="H74" s="20">
        <v>1</v>
      </c>
      <c r="I74" s="20" t="s">
        <v>596</v>
      </c>
      <c r="J74" s="21" t="b">
        <v>0</v>
      </c>
      <c r="K74" s="21" t="b">
        <v>0</v>
      </c>
      <c r="L74" s="18">
        <f>COUNTIF(C$2:C309,C74)</f>
        <v>1</v>
      </c>
      <c r="M74" s="18" t="s">
        <v>547</v>
      </c>
      <c r="N74" s="18" t="s">
        <v>548</v>
      </c>
      <c r="O74" s="18" t="s">
        <v>13</v>
      </c>
      <c r="P74" s="33" t="s">
        <v>12</v>
      </c>
    </row>
    <row r="75" spans="1:16" ht="16" customHeight="1">
      <c r="A75" s="34" t="s">
        <v>4</v>
      </c>
      <c r="B75" s="18" t="s">
        <v>1329</v>
      </c>
      <c r="C75" s="19" t="s">
        <v>657</v>
      </c>
      <c r="D75" s="19" t="s">
        <v>154</v>
      </c>
      <c r="E75" s="19" t="s">
        <v>154</v>
      </c>
      <c r="F75" s="20">
        <v>1</v>
      </c>
      <c r="G75" s="20" t="s">
        <v>713</v>
      </c>
      <c r="H75" s="20">
        <v>1</v>
      </c>
      <c r="I75" s="20" t="s">
        <v>713</v>
      </c>
      <c r="J75" s="21" t="b">
        <v>0</v>
      </c>
      <c r="K75" s="21" t="b">
        <v>0</v>
      </c>
      <c r="L75" s="18">
        <f>COUNTIF(C$2:C310,C75)</f>
        <v>1</v>
      </c>
      <c r="M75" s="18" t="s">
        <v>547</v>
      </c>
      <c r="N75" s="18" t="s">
        <v>548</v>
      </c>
      <c r="O75" s="18" t="s">
        <v>13</v>
      </c>
      <c r="P75" s="33" t="s">
        <v>12</v>
      </c>
    </row>
    <row r="76" spans="1:16" ht="16" customHeight="1">
      <c r="A76" s="34" t="s">
        <v>4</v>
      </c>
      <c r="B76" s="18" t="s">
        <v>1329</v>
      </c>
      <c r="C76" s="19" t="s">
        <v>685</v>
      </c>
      <c r="D76" s="19" t="s">
        <v>139</v>
      </c>
      <c r="E76" s="19" t="s">
        <v>139</v>
      </c>
      <c r="F76" s="20">
        <v>1</v>
      </c>
      <c r="G76" s="20" t="s">
        <v>695</v>
      </c>
      <c r="H76" s="20">
        <v>1</v>
      </c>
      <c r="I76" s="20" t="s">
        <v>695</v>
      </c>
      <c r="J76" s="21" t="b">
        <v>0</v>
      </c>
      <c r="K76" s="21" t="b">
        <v>0</v>
      </c>
      <c r="L76" s="18">
        <f>COUNTIF(C$2:C311,C76)</f>
        <v>1</v>
      </c>
      <c r="M76" s="18" t="s">
        <v>547</v>
      </c>
      <c r="N76" s="18" t="s">
        <v>548</v>
      </c>
      <c r="O76" s="18" t="s">
        <v>13</v>
      </c>
      <c r="P76" s="33" t="s">
        <v>12</v>
      </c>
    </row>
    <row r="77" spans="1:16" ht="16" customHeight="1">
      <c r="A77" s="32" t="s">
        <v>85</v>
      </c>
      <c r="B77" s="18" t="s">
        <v>1329</v>
      </c>
      <c r="C77" s="18" t="s">
        <v>1016</v>
      </c>
      <c r="D77" s="19" t="s">
        <v>566</v>
      </c>
      <c r="E77" s="19" t="s">
        <v>566</v>
      </c>
      <c r="F77" s="20">
        <v>17</v>
      </c>
      <c r="G77" s="20" t="s">
        <v>660</v>
      </c>
      <c r="H77" s="20">
        <v>17</v>
      </c>
      <c r="I77" s="20" t="s">
        <v>660</v>
      </c>
      <c r="J77" s="21" t="b">
        <v>1</v>
      </c>
      <c r="K77" s="21" t="b">
        <v>1</v>
      </c>
      <c r="L77" s="18">
        <f>COUNTIF(C$2:C312,C77)</f>
        <v>1</v>
      </c>
      <c r="M77" s="18" t="s">
        <v>548</v>
      </c>
      <c r="N77" s="18" t="s">
        <v>547</v>
      </c>
      <c r="O77" s="18" t="s">
        <v>12</v>
      </c>
      <c r="P77" s="33" t="s">
        <v>12</v>
      </c>
    </row>
    <row r="78" spans="1:16" ht="16" customHeight="1">
      <c r="A78" s="32" t="s">
        <v>89</v>
      </c>
      <c r="B78" s="18" t="s">
        <v>1329</v>
      </c>
      <c r="C78" s="18" t="s">
        <v>748</v>
      </c>
      <c r="D78" s="19" t="s">
        <v>896</v>
      </c>
      <c r="E78" s="19" t="s">
        <v>313</v>
      </c>
      <c r="F78" s="20">
        <v>2</v>
      </c>
      <c r="G78" s="20" t="s">
        <v>1000</v>
      </c>
      <c r="H78" s="20">
        <v>4</v>
      </c>
      <c r="I78" s="20" t="s">
        <v>649</v>
      </c>
      <c r="J78" s="21" t="b">
        <v>0</v>
      </c>
      <c r="K78" s="21" t="b">
        <v>0</v>
      </c>
      <c r="L78" s="18">
        <f>COUNTIF(C$2:C313,C78)</f>
        <v>1</v>
      </c>
      <c r="M78" s="18" t="s">
        <v>548</v>
      </c>
      <c r="N78" s="18" t="s">
        <v>547</v>
      </c>
      <c r="O78" s="18" t="s">
        <v>12</v>
      </c>
      <c r="P78" s="33" t="s">
        <v>12</v>
      </c>
    </row>
    <row r="79" spans="1:16" ht="16" customHeight="1">
      <c r="A79" s="32" t="s">
        <v>87</v>
      </c>
      <c r="B79" s="18" t="s">
        <v>1329</v>
      </c>
      <c r="C79" s="18" t="s">
        <v>776</v>
      </c>
      <c r="D79" s="19" t="s">
        <v>447</v>
      </c>
      <c r="E79" s="19" t="s">
        <v>999</v>
      </c>
      <c r="F79" s="20">
        <v>4</v>
      </c>
      <c r="G79" s="20" t="s">
        <v>649</v>
      </c>
      <c r="H79" s="20">
        <v>4</v>
      </c>
      <c r="I79" s="20" t="s">
        <v>649</v>
      </c>
      <c r="J79" s="21" t="b">
        <v>1</v>
      </c>
      <c r="K79" s="21" t="b">
        <v>0</v>
      </c>
      <c r="L79" s="18">
        <f>COUNTIF(C$2:C314,C79)</f>
        <v>1</v>
      </c>
      <c r="M79" s="18" t="s">
        <v>548</v>
      </c>
      <c r="N79" s="18" t="s">
        <v>547</v>
      </c>
      <c r="O79" s="18" t="s">
        <v>12</v>
      </c>
      <c r="P79" s="33" t="s">
        <v>12</v>
      </c>
    </row>
    <row r="80" spans="1:16" ht="16" customHeight="1">
      <c r="A80" s="32" t="s">
        <v>89</v>
      </c>
      <c r="B80" s="18" t="s">
        <v>1329</v>
      </c>
      <c r="C80" s="18" t="s">
        <v>775</v>
      </c>
      <c r="D80" s="19" t="s">
        <v>904</v>
      </c>
      <c r="E80" s="19" t="s">
        <v>1007</v>
      </c>
      <c r="F80" s="20">
        <v>4</v>
      </c>
      <c r="G80" s="20" t="s">
        <v>978</v>
      </c>
      <c r="H80" s="20">
        <v>4</v>
      </c>
      <c r="I80" s="20" t="s">
        <v>649</v>
      </c>
      <c r="J80" s="21" t="b">
        <v>0</v>
      </c>
      <c r="K80" s="21" t="b">
        <v>0</v>
      </c>
      <c r="L80" s="18">
        <f>COUNTIF(C$2:C315,C80)</f>
        <v>1</v>
      </c>
      <c r="M80" s="18" t="s">
        <v>548</v>
      </c>
      <c r="N80" s="18" t="s">
        <v>547</v>
      </c>
      <c r="O80" s="18" t="s">
        <v>12</v>
      </c>
      <c r="P80" s="33" t="s">
        <v>12</v>
      </c>
    </row>
    <row r="81" spans="1:16" ht="16" customHeight="1">
      <c r="A81" s="32" t="s">
        <v>3</v>
      </c>
      <c r="B81" s="18" t="s">
        <v>1329</v>
      </c>
      <c r="C81" s="18" t="s">
        <v>767</v>
      </c>
      <c r="D81" s="19" t="s">
        <v>768</v>
      </c>
      <c r="E81" s="19" t="s">
        <v>769</v>
      </c>
      <c r="F81" s="20">
        <v>11</v>
      </c>
      <c r="G81" s="20" t="s">
        <v>619</v>
      </c>
      <c r="H81" s="20">
        <v>17</v>
      </c>
      <c r="I81" s="20" t="s">
        <v>649</v>
      </c>
      <c r="J81" s="21" t="b">
        <v>0</v>
      </c>
      <c r="K81" s="21" t="b">
        <v>0</v>
      </c>
      <c r="L81" s="18">
        <f>COUNTIF(C$2:C316,C81)</f>
        <v>1</v>
      </c>
      <c r="M81" s="18" t="s">
        <v>548</v>
      </c>
      <c r="N81" s="18" t="s">
        <v>547</v>
      </c>
      <c r="O81" s="18" t="s">
        <v>13</v>
      </c>
      <c r="P81" s="33" t="s">
        <v>12</v>
      </c>
    </row>
    <row r="82" spans="1:16" ht="16" customHeight="1">
      <c r="A82" s="32" t="s">
        <v>87</v>
      </c>
      <c r="B82" s="18" t="s">
        <v>1329</v>
      </c>
      <c r="C82" s="19" t="s">
        <v>646</v>
      </c>
      <c r="D82" s="19" t="s">
        <v>567</v>
      </c>
      <c r="E82" s="19" t="s">
        <v>647</v>
      </c>
      <c r="F82" s="20">
        <v>12</v>
      </c>
      <c r="G82" s="20" t="s">
        <v>648</v>
      </c>
      <c r="H82" s="20">
        <v>12</v>
      </c>
      <c r="I82" s="20" t="s">
        <v>649</v>
      </c>
      <c r="J82" s="21" t="b">
        <v>1</v>
      </c>
      <c r="K82" s="21" t="b">
        <v>0</v>
      </c>
      <c r="L82" s="18">
        <f>COUNTIF(C$2:C317,C82)</f>
        <v>1</v>
      </c>
      <c r="M82" s="18" t="s">
        <v>547</v>
      </c>
      <c r="N82" s="18" t="s">
        <v>547</v>
      </c>
      <c r="O82" s="18" t="s">
        <v>12</v>
      </c>
      <c r="P82" s="33" t="s">
        <v>12</v>
      </c>
    </row>
    <row r="83" spans="1:16" ht="16" customHeight="1">
      <c r="A83" s="32" t="s">
        <v>86</v>
      </c>
      <c r="B83" s="18" t="s">
        <v>1329</v>
      </c>
      <c r="C83" s="19" t="s">
        <v>930</v>
      </c>
      <c r="D83" s="19" t="s">
        <v>290</v>
      </c>
      <c r="E83" s="19" t="s">
        <v>290</v>
      </c>
      <c r="F83" s="20">
        <v>12</v>
      </c>
      <c r="G83" s="20" t="s">
        <v>649</v>
      </c>
      <c r="H83" s="20">
        <v>12</v>
      </c>
      <c r="I83" s="20" t="s">
        <v>649</v>
      </c>
      <c r="J83" s="21" t="b">
        <v>0</v>
      </c>
      <c r="K83" s="21" t="b">
        <v>0</v>
      </c>
      <c r="L83" s="18">
        <f>COUNTIF(C$2:C318,C83)</f>
        <v>1</v>
      </c>
      <c r="M83" s="18" t="s">
        <v>547</v>
      </c>
      <c r="N83" s="18" t="s">
        <v>547</v>
      </c>
      <c r="O83" s="18" t="s">
        <v>12</v>
      </c>
      <c r="P83" s="33" t="s">
        <v>12</v>
      </c>
    </row>
    <row r="84" spans="1:16" ht="16" customHeight="1">
      <c r="A84" s="32" t="s">
        <v>87</v>
      </c>
      <c r="B84" s="18" t="s">
        <v>1329</v>
      </c>
      <c r="C84" s="18" t="s">
        <v>945</v>
      </c>
      <c r="D84" s="19" t="s">
        <v>296</v>
      </c>
      <c r="E84" s="19" t="s">
        <v>296</v>
      </c>
      <c r="F84" s="20">
        <v>12</v>
      </c>
      <c r="G84" s="20" t="s">
        <v>649</v>
      </c>
      <c r="H84" s="20">
        <v>12</v>
      </c>
      <c r="I84" s="20" t="s">
        <v>649</v>
      </c>
      <c r="J84" s="21" t="b">
        <v>0</v>
      </c>
      <c r="K84" s="21" t="b">
        <v>0</v>
      </c>
      <c r="L84" s="18">
        <f>COUNTIF(C$2:C319,C84)</f>
        <v>1</v>
      </c>
      <c r="M84" s="18" t="s">
        <v>548</v>
      </c>
      <c r="N84" s="18" t="s">
        <v>547</v>
      </c>
      <c r="O84" s="18" t="s">
        <v>12</v>
      </c>
      <c r="P84" s="33" t="s">
        <v>12</v>
      </c>
    </row>
    <row r="85" spans="1:16" ht="16" customHeight="1">
      <c r="A85" s="32" t="s">
        <v>86</v>
      </c>
      <c r="B85" s="18" t="s">
        <v>1329</v>
      </c>
      <c r="C85" s="19" t="s">
        <v>932</v>
      </c>
      <c r="D85" s="19" t="s">
        <v>747</v>
      </c>
      <c r="E85" s="19" t="s">
        <v>290</v>
      </c>
      <c r="F85" s="20">
        <v>12</v>
      </c>
      <c r="G85" s="20" t="s">
        <v>649</v>
      </c>
      <c r="H85" s="20">
        <v>12</v>
      </c>
      <c r="I85" s="20" t="s">
        <v>649</v>
      </c>
      <c r="J85" s="21" t="b">
        <v>0</v>
      </c>
      <c r="K85" s="21" t="b">
        <v>0</v>
      </c>
      <c r="L85" s="18">
        <f>COUNTIF(C$2:C320,C85)</f>
        <v>1</v>
      </c>
      <c r="M85" s="18" t="s">
        <v>547</v>
      </c>
      <c r="N85" s="18" t="s">
        <v>547</v>
      </c>
      <c r="O85" s="18" t="s">
        <v>12</v>
      </c>
      <c r="P85" s="33" t="s">
        <v>12</v>
      </c>
    </row>
    <row r="86" spans="1:16" ht="16" customHeight="1">
      <c r="A86" s="32" t="s">
        <v>86</v>
      </c>
      <c r="B86" s="18" t="s">
        <v>1329</v>
      </c>
      <c r="C86" s="19" t="s">
        <v>935</v>
      </c>
      <c r="D86" s="19" t="s">
        <v>747</v>
      </c>
      <c r="E86" s="19" t="s">
        <v>747</v>
      </c>
      <c r="F86" s="20">
        <v>12</v>
      </c>
      <c r="G86" s="20" t="s">
        <v>649</v>
      </c>
      <c r="H86" s="20">
        <v>12</v>
      </c>
      <c r="I86" s="20" t="s">
        <v>649</v>
      </c>
      <c r="J86" s="21" t="b">
        <v>0</v>
      </c>
      <c r="K86" s="21" t="b">
        <v>0</v>
      </c>
      <c r="L86" s="18">
        <f>COUNTIF(C$2:C321,C86)</f>
        <v>1</v>
      </c>
      <c r="M86" s="18" t="s">
        <v>547</v>
      </c>
      <c r="N86" s="18" t="s">
        <v>547</v>
      </c>
      <c r="O86" s="18" t="s">
        <v>12</v>
      </c>
      <c r="P86" s="33" t="s">
        <v>12</v>
      </c>
    </row>
    <row r="87" spans="1:16" ht="16" customHeight="1">
      <c r="A87" s="32" t="s">
        <v>45</v>
      </c>
      <c r="B87" s="18" t="s">
        <v>1329</v>
      </c>
      <c r="C87" s="18" t="s">
        <v>1023</v>
      </c>
      <c r="D87" s="19" t="s">
        <v>981</v>
      </c>
      <c r="E87" s="19" t="s">
        <v>1030</v>
      </c>
      <c r="F87" s="20">
        <v>20</v>
      </c>
      <c r="G87" s="20" t="s">
        <v>649</v>
      </c>
      <c r="H87" s="20">
        <v>20</v>
      </c>
      <c r="I87" s="20" t="s">
        <v>649</v>
      </c>
      <c r="J87" s="21" t="b">
        <v>0</v>
      </c>
      <c r="K87" s="21" t="b">
        <v>0</v>
      </c>
      <c r="L87" s="18">
        <f>COUNTIF(C$2:C322,C87)</f>
        <v>1</v>
      </c>
      <c r="M87" s="18" t="s">
        <v>548</v>
      </c>
      <c r="N87" s="18" t="s">
        <v>547</v>
      </c>
      <c r="O87" s="18" t="s">
        <v>12</v>
      </c>
      <c r="P87" s="33" t="s">
        <v>12</v>
      </c>
    </row>
    <row r="88" spans="1:16" ht="16" customHeight="1">
      <c r="A88" s="32" t="s">
        <v>89</v>
      </c>
      <c r="B88" s="18" t="s">
        <v>1329</v>
      </c>
      <c r="C88" s="19" t="s">
        <v>808</v>
      </c>
      <c r="D88" s="19" t="s">
        <v>783</v>
      </c>
      <c r="E88" s="19" t="s">
        <v>783</v>
      </c>
      <c r="F88" s="20">
        <v>6</v>
      </c>
      <c r="G88" s="20" t="s">
        <v>939</v>
      </c>
      <c r="H88" s="20">
        <v>6</v>
      </c>
      <c r="I88" s="20" t="s">
        <v>939</v>
      </c>
      <c r="J88" s="21" t="b">
        <v>0</v>
      </c>
      <c r="K88" s="21" t="b">
        <v>0</v>
      </c>
      <c r="L88" s="18">
        <f>COUNTIF(C$2:C323,C88)</f>
        <v>1</v>
      </c>
      <c r="M88" s="18" t="s">
        <v>547</v>
      </c>
      <c r="N88" s="18" t="s">
        <v>548</v>
      </c>
      <c r="O88" s="18" t="s">
        <v>12</v>
      </c>
      <c r="P88" s="33" t="s">
        <v>12</v>
      </c>
    </row>
    <row r="89" spans="1:16" ht="16" customHeight="1">
      <c r="A89" s="32" t="s">
        <v>106</v>
      </c>
      <c r="B89" s="18" t="s">
        <v>1329</v>
      </c>
      <c r="C89" s="18" t="s">
        <v>759</v>
      </c>
      <c r="D89" s="19" t="s">
        <v>760</v>
      </c>
      <c r="E89" s="19" t="s">
        <v>761</v>
      </c>
      <c r="F89" s="20">
        <v>19</v>
      </c>
      <c r="G89" s="20" t="s">
        <v>722</v>
      </c>
      <c r="H89" s="20">
        <v>19</v>
      </c>
      <c r="I89" s="20" t="s">
        <v>722</v>
      </c>
      <c r="J89" s="21" t="b">
        <v>0</v>
      </c>
      <c r="K89" s="21" t="b">
        <v>0</v>
      </c>
      <c r="L89" s="18">
        <f>COUNTIF(C$2:C324,C89)</f>
        <v>1</v>
      </c>
      <c r="M89" s="18" t="s">
        <v>548</v>
      </c>
      <c r="N89" s="18" t="s">
        <v>547</v>
      </c>
      <c r="O89" s="18" t="s">
        <v>12</v>
      </c>
      <c r="P89" s="33" t="s">
        <v>12</v>
      </c>
    </row>
    <row r="90" spans="1:16" ht="16" customHeight="1">
      <c r="A90" s="32" t="s">
        <v>106</v>
      </c>
      <c r="B90" s="18" t="s">
        <v>1329</v>
      </c>
      <c r="C90" s="18" t="s">
        <v>1008</v>
      </c>
      <c r="D90" s="22" t="s">
        <v>753</v>
      </c>
      <c r="E90" s="19" t="s">
        <v>720</v>
      </c>
      <c r="F90" s="20">
        <v>19</v>
      </c>
      <c r="G90" s="20" t="s">
        <v>722</v>
      </c>
      <c r="H90" s="20">
        <v>19</v>
      </c>
      <c r="I90" s="20" t="s">
        <v>722</v>
      </c>
      <c r="J90" s="21" t="b">
        <v>0</v>
      </c>
      <c r="K90" s="21" t="b">
        <v>0</v>
      </c>
      <c r="L90" s="18">
        <f>COUNTIF(C$2:C325,C90)</f>
        <v>1</v>
      </c>
      <c r="M90" s="18" t="s">
        <v>548</v>
      </c>
      <c r="N90" s="18" t="s">
        <v>547</v>
      </c>
      <c r="O90" s="18" t="s">
        <v>12</v>
      </c>
      <c r="P90" s="33" t="s">
        <v>12</v>
      </c>
    </row>
    <row r="91" spans="1:16" ht="16" customHeight="1">
      <c r="A91" s="32" t="s">
        <v>16</v>
      </c>
      <c r="B91" s="18" t="s">
        <v>1329</v>
      </c>
      <c r="C91" s="18" t="s">
        <v>623</v>
      </c>
      <c r="D91" s="19" t="s">
        <v>849</v>
      </c>
      <c r="E91" s="19" t="s">
        <v>885</v>
      </c>
      <c r="F91" s="20">
        <v>1</v>
      </c>
      <c r="G91" s="20" t="s">
        <v>886</v>
      </c>
      <c r="H91" s="20">
        <v>8</v>
      </c>
      <c r="I91" s="20" t="s">
        <v>605</v>
      </c>
      <c r="J91" s="21" t="b">
        <v>0</v>
      </c>
      <c r="K91" s="21" t="b">
        <v>0</v>
      </c>
      <c r="L91" s="18">
        <f>COUNTIF(C$2:C326,C91)</f>
        <v>1</v>
      </c>
      <c r="M91" s="18" t="s">
        <v>548</v>
      </c>
      <c r="N91" s="18" t="s">
        <v>547</v>
      </c>
      <c r="O91" s="18" t="s">
        <v>13</v>
      </c>
      <c r="P91" s="33" t="s">
        <v>12</v>
      </c>
    </row>
    <row r="92" spans="1:16" ht="16" customHeight="1">
      <c r="A92" s="32" t="s">
        <v>42</v>
      </c>
      <c r="B92" s="18" t="s">
        <v>1329</v>
      </c>
      <c r="C92" s="18" t="s">
        <v>800</v>
      </c>
      <c r="D92" s="19" t="s">
        <v>604</v>
      </c>
      <c r="E92" s="19" t="s">
        <v>563</v>
      </c>
      <c r="F92" s="20">
        <v>6</v>
      </c>
      <c r="G92" s="20" t="s">
        <v>574</v>
      </c>
      <c r="H92" s="20">
        <v>12</v>
      </c>
      <c r="I92" s="20" t="s">
        <v>605</v>
      </c>
      <c r="J92" s="21" t="b">
        <v>0</v>
      </c>
      <c r="K92" s="21" t="b">
        <v>1</v>
      </c>
      <c r="L92" s="18">
        <f>COUNTIF(C$2:C327,C92)</f>
        <v>1</v>
      </c>
      <c r="M92" s="18" t="s">
        <v>548</v>
      </c>
      <c r="N92" s="18" t="s">
        <v>547</v>
      </c>
      <c r="O92" s="18" t="s">
        <v>12</v>
      </c>
      <c r="P92" s="33" t="s">
        <v>12</v>
      </c>
    </row>
    <row r="93" spans="1:16" ht="16" customHeight="1">
      <c r="A93" s="32" t="s">
        <v>42</v>
      </c>
      <c r="B93" s="18" t="s">
        <v>1329</v>
      </c>
      <c r="C93" s="18" t="s">
        <v>803</v>
      </c>
      <c r="D93" s="19" t="s">
        <v>316</v>
      </c>
      <c r="E93" s="19" t="s">
        <v>1017</v>
      </c>
      <c r="F93" s="20">
        <v>6</v>
      </c>
      <c r="G93" s="20" t="s">
        <v>574</v>
      </c>
      <c r="H93" s="20">
        <v>12</v>
      </c>
      <c r="I93" s="20" t="s">
        <v>605</v>
      </c>
      <c r="J93" s="21" t="b">
        <v>0</v>
      </c>
      <c r="K93" s="21" t="b">
        <v>0</v>
      </c>
      <c r="L93" s="18">
        <f>COUNTIF(C$2:C328,C93)</f>
        <v>1</v>
      </c>
      <c r="M93" s="18" t="s">
        <v>548</v>
      </c>
      <c r="N93" s="18" t="s">
        <v>547</v>
      </c>
      <c r="O93" s="18" t="s">
        <v>12</v>
      </c>
      <c r="P93" s="33" t="s">
        <v>12</v>
      </c>
    </row>
    <row r="94" spans="1:16" ht="16" customHeight="1">
      <c r="A94" s="32" t="s">
        <v>42</v>
      </c>
      <c r="B94" s="18" t="s">
        <v>1329</v>
      </c>
      <c r="C94" s="18" t="s">
        <v>889</v>
      </c>
      <c r="D94" s="19" t="s">
        <v>890</v>
      </c>
      <c r="E94" s="19" t="s">
        <v>677</v>
      </c>
      <c r="F94" s="20">
        <v>7</v>
      </c>
      <c r="G94" s="20" t="s">
        <v>891</v>
      </c>
      <c r="H94" s="20">
        <v>12</v>
      </c>
      <c r="I94" s="20" t="s">
        <v>605</v>
      </c>
      <c r="J94" s="21" t="b">
        <v>0</v>
      </c>
      <c r="K94" s="21" t="b">
        <v>0</v>
      </c>
      <c r="L94" s="18">
        <f>COUNTIF(C$2:C329,C94)</f>
        <v>1</v>
      </c>
      <c r="M94" s="18" t="s">
        <v>548</v>
      </c>
      <c r="N94" s="18" t="s">
        <v>547</v>
      </c>
      <c r="O94" s="18" t="s">
        <v>12</v>
      </c>
      <c r="P94" s="33" t="s">
        <v>12</v>
      </c>
    </row>
    <row r="95" spans="1:16" ht="16" customHeight="1">
      <c r="A95" s="32" t="s">
        <v>59</v>
      </c>
      <c r="B95" s="18" t="s">
        <v>1329</v>
      </c>
      <c r="C95" s="18" t="s">
        <v>871</v>
      </c>
      <c r="D95" s="19" t="s">
        <v>258</v>
      </c>
      <c r="E95" s="19" t="s">
        <v>563</v>
      </c>
      <c r="F95" s="20">
        <v>12</v>
      </c>
      <c r="G95" s="20" t="s">
        <v>605</v>
      </c>
      <c r="H95" s="20">
        <v>12</v>
      </c>
      <c r="I95" s="20" t="s">
        <v>605</v>
      </c>
      <c r="J95" s="21" t="b">
        <v>1</v>
      </c>
      <c r="K95" s="21" t="b">
        <v>1</v>
      </c>
      <c r="L95" s="18">
        <f>COUNTIF(C$2:C330,C95)</f>
        <v>1</v>
      </c>
      <c r="M95" s="18" t="s">
        <v>548</v>
      </c>
      <c r="N95" s="18" t="s">
        <v>547</v>
      </c>
      <c r="O95" s="18" t="s">
        <v>12</v>
      </c>
      <c r="P95" s="33" t="s">
        <v>12</v>
      </c>
    </row>
    <row r="96" spans="1:16" ht="16" customHeight="1">
      <c r="A96" s="32" t="s">
        <v>19</v>
      </c>
      <c r="B96" s="18" t="s">
        <v>1329</v>
      </c>
      <c r="C96" s="18" t="s">
        <v>874</v>
      </c>
      <c r="D96" s="19" t="s">
        <v>258</v>
      </c>
      <c r="E96" s="19" t="s">
        <v>550</v>
      </c>
      <c r="F96" s="20">
        <v>12</v>
      </c>
      <c r="G96" s="20" t="s">
        <v>605</v>
      </c>
      <c r="H96" s="20">
        <v>12</v>
      </c>
      <c r="I96" s="20" t="s">
        <v>605</v>
      </c>
      <c r="J96" s="21" t="b">
        <v>1</v>
      </c>
      <c r="K96" s="21" t="b">
        <v>1</v>
      </c>
      <c r="L96" s="18">
        <f>COUNTIF(C$2:C331,C96)</f>
        <v>1</v>
      </c>
      <c r="M96" s="18" t="s">
        <v>548</v>
      </c>
      <c r="N96" s="18" t="s">
        <v>547</v>
      </c>
      <c r="O96" s="18" t="s">
        <v>12</v>
      </c>
      <c r="P96" s="33" t="s">
        <v>12</v>
      </c>
    </row>
    <row r="97" spans="1:16" ht="16" customHeight="1">
      <c r="A97" s="32" t="s">
        <v>113</v>
      </c>
      <c r="B97" s="18" t="s">
        <v>1329</v>
      </c>
      <c r="C97" s="19" t="s">
        <v>917</v>
      </c>
      <c r="D97" s="19" t="s">
        <v>289</v>
      </c>
      <c r="E97" s="19" t="s">
        <v>256</v>
      </c>
      <c r="F97" s="20">
        <v>12</v>
      </c>
      <c r="G97" s="20" t="s">
        <v>605</v>
      </c>
      <c r="H97" s="20">
        <v>12</v>
      </c>
      <c r="I97" s="20" t="s">
        <v>605</v>
      </c>
      <c r="J97" s="21" t="b">
        <v>1</v>
      </c>
      <c r="K97" s="21" t="b">
        <v>1</v>
      </c>
      <c r="L97" s="18">
        <f>COUNTIF(C$2:C332,C97)</f>
        <v>1</v>
      </c>
      <c r="M97" s="18" t="s">
        <v>547</v>
      </c>
      <c r="N97" s="18" t="s">
        <v>548</v>
      </c>
      <c r="O97" s="18" t="s">
        <v>12</v>
      </c>
      <c r="P97" s="33" t="s">
        <v>12</v>
      </c>
    </row>
    <row r="98" spans="1:16" ht="16" customHeight="1">
      <c r="A98" s="32" t="s">
        <v>59</v>
      </c>
      <c r="B98" s="18" t="s">
        <v>1329</v>
      </c>
      <c r="C98" s="18" t="s">
        <v>936</v>
      </c>
      <c r="D98" s="19" t="s">
        <v>550</v>
      </c>
      <c r="E98" s="19" t="s">
        <v>257</v>
      </c>
      <c r="F98" s="20">
        <v>12</v>
      </c>
      <c r="G98" s="20" t="s">
        <v>605</v>
      </c>
      <c r="H98" s="20">
        <v>12</v>
      </c>
      <c r="I98" s="20" t="s">
        <v>605</v>
      </c>
      <c r="J98" s="21" t="b">
        <v>1</v>
      </c>
      <c r="K98" s="21" t="b">
        <v>0</v>
      </c>
      <c r="L98" s="18">
        <f>COUNTIF(C$2:C333,C98)</f>
        <v>1</v>
      </c>
      <c r="M98" s="18" t="s">
        <v>548</v>
      </c>
      <c r="N98" s="18" t="s">
        <v>547</v>
      </c>
      <c r="O98" s="18" t="s">
        <v>12</v>
      </c>
      <c r="P98" s="33" t="s">
        <v>12</v>
      </c>
    </row>
    <row r="99" spans="1:16" ht="16" customHeight="1">
      <c r="A99" s="32" t="s">
        <v>42</v>
      </c>
      <c r="B99" s="18" t="s">
        <v>1329</v>
      </c>
      <c r="C99" s="18" t="s">
        <v>954</v>
      </c>
      <c r="D99" s="19" t="s">
        <v>666</v>
      </c>
      <c r="E99" s="19" t="s">
        <v>252</v>
      </c>
      <c r="F99" s="20">
        <v>12</v>
      </c>
      <c r="G99" s="20" t="s">
        <v>605</v>
      </c>
      <c r="H99" s="20">
        <v>12</v>
      </c>
      <c r="I99" s="20" t="s">
        <v>605</v>
      </c>
      <c r="J99" s="21" t="b">
        <v>0</v>
      </c>
      <c r="K99" s="21" t="b">
        <v>0</v>
      </c>
      <c r="L99" s="18">
        <f>COUNTIF(C$2:C334,C99)</f>
        <v>1</v>
      </c>
      <c r="M99" s="18" t="s">
        <v>548</v>
      </c>
      <c r="N99" s="18" t="s">
        <v>547</v>
      </c>
      <c r="O99" s="18" t="s">
        <v>12</v>
      </c>
      <c r="P99" s="33" t="s">
        <v>12</v>
      </c>
    </row>
    <row r="100" spans="1:16" ht="16" customHeight="1">
      <c r="A100" s="32" t="s">
        <v>106</v>
      </c>
      <c r="B100" s="18" t="s">
        <v>1329</v>
      </c>
      <c r="C100" s="18" t="s">
        <v>1013</v>
      </c>
      <c r="D100" s="22" t="s">
        <v>753</v>
      </c>
      <c r="E100" s="19" t="s">
        <v>1014</v>
      </c>
      <c r="F100" s="20">
        <v>19</v>
      </c>
      <c r="G100" s="20" t="s">
        <v>722</v>
      </c>
      <c r="H100" s="20">
        <v>19</v>
      </c>
      <c r="I100" s="20" t="s">
        <v>1015</v>
      </c>
      <c r="J100" s="21" t="b">
        <v>0</v>
      </c>
      <c r="K100" s="21" t="b">
        <v>0</v>
      </c>
      <c r="L100" s="18">
        <f>COUNTIF(C$2:C335,C100)</f>
        <v>1</v>
      </c>
      <c r="M100" s="18" t="s">
        <v>548</v>
      </c>
      <c r="N100" s="18" t="s">
        <v>547</v>
      </c>
      <c r="O100" s="18" t="s">
        <v>12</v>
      </c>
      <c r="P100" s="33" t="s">
        <v>12</v>
      </c>
    </row>
    <row r="101" spans="1:16" ht="16" customHeight="1">
      <c r="A101" s="32" t="s">
        <v>106</v>
      </c>
      <c r="B101" s="18" t="s">
        <v>1329</v>
      </c>
      <c r="C101" s="18" t="s">
        <v>857</v>
      </c>
      <c r="D101" s="22" t="s">
        <v>785</v>
      </c>
      <c r="E101" s="19" t="s">
        <v>982</v>
      </c>
      <c r="F101" s="20">
        <v>7</v>
      </c>
      <c r="G101" s="20" t="s">
        <v>813</v>
      </c>
      <c r="H101" s="20">
        <v>19</v>
      </c>
      <c r="I101" s="20" t="s">
        <v>723</v>
      </c>
      <c r="J101" s="21" t="b">
        <v>0</v>
      </c>
      <c r="K101" s="21" t="b">
        <v>0</v>
      </c>
      <c r="L101" s="18">
        <f>COUNTIF(C$2:C336,C101)</f>
        <v>1</v>
      </c>
      <c r="M101" s="18" t="s">
        <v>548</v>
      </c>
      <c r="N101" s="18" t="s">
        <v>547</v>
      </c>
      <c r="O101" s="18" t="s">
        <v>12</v>
      </c>
      <c r="P101" s="33" t="s">
        <v>12</v>
      </c>
    </row>
    <row r="102" spans="1:16" ht="16" customHeight="1">
      <c r="A102" s="32" t="s">
        <v>106</v>
      </c>
      <c r="B102" s="18" t="s">
        <v>1329</v>
      </c>
      <c r="C102" s="18" t="s">
        <v>719</v>
      </c>
      <c r="D102" s="19" t="s">
        <v>720</v>
      </c>
      <c r="E102" s="19" t="s">
        <v>721</v>
      </c>
      <c r="F102" s="20">
        <v>19</v>
      </c>
      <c r="G102" s="20" t="s">
        <v>722</v>
      </c>
      <c r="H102" s="20">
        <v>19</v>
      </c>
      <c r="I102" s="20" t="s">
        <v>723</v>
      </c>
      <c r="J102" s="21" t="b">
        <v>0</v>
      </c>
      <c r="K102" s="21" t="b">
        <v>0</v>
      </c>
      <c r="L102" s="18">
        <f>COUNTIF(C$2:C337,C102)</f>
        <v>1</v>
      </c>
      <c r="M102" s="18" t="s">
        <v>548</v>
      </c>
      <c r="N102" s="18" t="s">
        <v>547</v>
      </c>
      <c r="O102" s="18" t="s">
        <v>12</v>
      </c>
      <c r="P102" s="33" t="s">
        <v>12</v>
      </c>
    </row>
    <row r="103" spans="1:16" ht="16" customHeight="1">
      <c r="A103" s="32" t="s">
        <v>106</v>
      </c>
      <c r="B103" s="18" t="s">
        <v>1329</v>
      </c>
      <c r="C103" s="18" t="s">
        <v>924</v>
      </c>
      <c r="D103" s="22" t="s">
        <v>925</v>
      </c>
      <c r="E103" s="19" t="s">
        <v>926</v>
      </c>
      <c r="F103" s="20">
        <v>19</v>
      </c>
      <c r="G103" s="20" t="s">
        <v>722</v>
      </c>
      <c r="H103" s="20">
        <v>19</v>
      </c>
      <c r="I103" s="20" t="s">
        <v>723</v>
      </c>
      <c r="J103" s="21" t="b">
        <v>0</v>
      </c>
      <c r="K103" s="21" t="b">
        <v>0</v>
      </c>
      <c r="L103" s="18">
        <f>COUNTIF(C$2:C338,C103)</f>
        <v>1</v>
      </c>
      <c r="M103" s="18" t="s">
        <v>548</v>
      </c>
      <c r="N103" s="18" t="s">
        <v>547</v>
      </c>
      <c r="O103" s="18" t="s">
        <v>12</v>
      </c>
      <c r="P103" s="33" t="s">
        <v>12</v>
      </c>
    </row>
    <row r="104" spans="1:16" ht="16" customHeight="1">
      <c r="A104" s="32" t="s">
        <v>106</v>
      </c>
      <c r="B104" s="18" t="s">
        <v>1329</v>
      </c>
      <c r="C104" s="18" t="s">
        <v>1010</v>
      </c>
      <c r="D104" s="22" t="s">
        <v>753</v>
      </c>
      <c r="E104" s="19" t="s">
        <v>1011</v>
      </c>
      <c r="F104" s="20">
        <v>19</v>
      </c>
      <c r="G104" s="20" t="s">
        <v>722</v>
      </c>
      <c r="H104" s="20">
        <v>19</v>
      </c>
      <c r="I104" s="20" t="s">
        <v>723</v>
      </c>
      <c r="J104" s="21" t="b">
        <v>0</v>
      </c>
      <c r="K104" s="21" t="b">
        <v>0</v>
      </c>
      <c r="L104" s="18">
        <f>COUNTIF(C$2:C339,C104)</f>
        <v>1</v>
      </c>
      <c r="M104" s="18" t="s">
        <v>548</v>
      </c>
      <c r="N104" s="18" t="s">
        <v>547</v>
      </c>
      <c r="O104" s="18" t="s">
        <v>12</v>
      </c>
      <c r="P104" s="33" t="s">
        <v>12</v>
      </c>
    </row>
    <row r="105" spans="1:16" ht="16" customHeight="1">
      <c r="A105" s="32" t="s">
        <v>87</v>
      </c>
      <c r="B105" s="18" t="s">
        <v>1329</v>
      </c>
      <c r="C105" s="18" t="s">
        <v>1022</v>
      </c>
      <c r="D105" s="19" t="s">
        <v>976</v>
      </c>
      <c r="E105" s="19" t="s">
        <v>1035</v>
      </c>
      <c r="F105" s="20">
        <v>19</v>
      </c>
      <c r="G105" s="20" t="s">
        <v>1036</v>
      </c>
      <c r="H105" s="20">
        <v>19</v>
      </c>
      <c r="I105" s="20" t="s">
        <v>1036</v>
      </c>
      <c r="J105" s="21" t="b">
        <v>0</v>
      </c>
      <c r="K105" s="21" t="b">
        <v>0</v>
      </c>
      <c r="L105" s="18">
        <f>COUNTIF(C$2:C340,C105)</f>
        <v>1</v>
      </c>
      <c r="M105" s="18" t="s">
        <v>548</v>
      </c>
      <c r="N105" s="18" t="s">
        <v>547</v>
      </c>
      <c r="O105" s="18" t="s">
        <v>12</v>
      </c>
      <c r="P105" s="33" t="s">
        <v>12</v>
      </c>
    </row>
    <row r="106" spans="1:16" ht="16" customHeight="1">
      <c r="A106" s="32" t="s">
        <v>106</v>
      </c>
      <c r="B106" s="18" t="s">
        <v>1329</v>
      </c>
      <c r="C106" s="18" t="s">
        <v>639</v>
      </c>
      <c r="D106" s="19" t="s">
        <v>640</v>
      </c>
      <c r="E106" s="19" t="s">
        <v>641</v>
      </c>
      <c r="F106" s="20">
        <v>7</v>
      </c>
      <c r="G106" s="20" t="s">
        <v>642</v>
      </c>
      <c r="H106" s="20">
        <v>19</v>
      </c>
      <c r="I106" s="20" t="s">
        <v>643</v>
      </c>
      <c r="J106" s="21" t="b">
        <v>0</v>
      </c>
      <c r="K106" s="21" t="b">
        <v>0</v>
      </c>
      <c r="L106" s="18">
        <f>COUNTIF(C$2:C341,C106)</f>
        <v>1</v>
      </c>
      <c r="M106" s="18" t="s">
        <v>548</v>
      </c>
      <c r="N106" s="18" t="s">
        <v>547</v>
      </c>
      <c r="O106" s="18" t="s">
        <v>12</v>
      </c>
      <c r="P106" s="33" t="s">
        <v>12</v>
      </c>
    </row>
    <row r="107" spans="1:16" ht="16" customHeight="1">
      <c r="A107" s="32" t="s">
        <v>106</v>
      </c>
      <c r="B107" s="18" t="s">
        <v>1329</v>
      </c>
      <c r="C107" s="18" t="s">
        <v>876</v>
      </c>
      <c r="D107" s="22" t="s">
        <v>655</v>
      </c>
      <c r="E107" s="19" t="s">
        <v>967</v>
      </c>
      <c r="F107" s="20">
        <v>7</v>
      </c>
      <c r="G107" s="20" t="s">
        <v>642</v>
      </c>
      <c r="H107" s="20">
        <v>19</v>
      </c>
      <c r="I107" s="20" t="s">
        <v>643</v>
      </c>
      <c r="J107" s="21" t="b">
        <v>0</v>
      </c>
      <c r="K107" s="21" t="b">
        <v>0</v>
      </c>
      <c r="L107" s="18">
        <f>COUNTIF(C$2:C342,C107)</f>
        <v>1</v>
      </c>
      <c r="M107" s="18" t="s">
        <v>548</v>
      </c>
      <c r="N107" s="18" t="s">
        <v>547</v>
      </c>
      <c r="O107" s="18" t="s">
        <v>12</v>
      </c>
      <c r="P107" s="33" t="s">
        <v>12</v>
      </c>
    </row>
    <row r="108" spans="1:16" ht="16" customHeight="1">
      <c r="A108" s="32" t="s">
        <v>106</v>
      </c>
      <c r="B108" s="18" t="s">
        <v>1329</v>
      </c>
      <c r="C108" s="18" t="s">
        <v>1021</v>
      </c>
      <c r="D108" s="22" t="s">
        <v>554</v>
      </c>
      <c r="E108" s="19" t="s">
        <v>1027</v>
      </c>
      <c r="F108" s="20">
        <v>19</v>
      </c>
      <c r="G108" s="20" t="s">
        <v>722</v>
      </c>
      <c r="H108" s="20">
        <v>19</v>
      </c>
      <c r="I108" s="20" t="s">
        <v>643</v>
      </c>
      <c r="J108" s="21" t="b">
        <v>1</v>
      </c>
      <c r="K108" s="21" t="b">
        <v>0</v>
      </c>
      <c r="L108" s="18">
        <f>COUNTIF(C$2:C343,C108)</f>
        <v>1</v>
      </c>
      <c r="M108" s="18" t="s">
        <v>548</v>
      </c>
      <c r="N108" s="18" t="s">
        <v>547</v>
      </c>
      <c r="O108" s="18" t="s">
        <v>12</v>
      </c>
      <c r="P108" s="33" t="s">
        <v>12</v>
      </c>
    </row>
    <row r="109" spans="1:16" ht="16" customHeight="1">
      <c r="A109" s="32" t="s">
        <v>62</v>
      </c>
      <c r="B109" s="18" t="s">
        <v>1329</v>
      </c>
      <c r="C109" s="18" t="s">
        <v>625</v>
      </c>
      <c r="D109" s="19" t="s">
        <v>762</v>
      </c>
      <c r="E109" s="19" t="s">
        <v>763</v>
      </c>
      <c r="F109" s="20">
        <v>1</v>
      </c>
      <c r="G109" s="20" t="s">
        <v>764</v>
      </c>
      <c r="H109" s="20">
        <v>15</v>
      </c>
      <c r="I109" s="20" t="s">
        <v>629</v>
      </c>
      <c r="J109" s="21" t="b">
        <v>0</v>
      </c>
      <c r="K109" s="21" t="b">
        <v>0</v>
      </c>
      <c r="L109" s="18">
        <f>COUNTIF(C$2:C344,C109)</f>
        <v>1</v>
      </c>
      <c r="M109" s="18" t="s">
        <v>548</v>
      </c>
      <c r="N109" s="18" t="s">
        <v>547</v>
      </c>
      <c r="O109" s="18" t="s">
        <v>12</v>
      </c>
      <c r="P109" s="33" t="s">
        <v>12</v>
      </c>
    </row>
    <row r="110" spans="1:16" ht="16" customHeight="1">
      <c r="A110" s="32" t="s">
        <v>118</v>
      </c>
      <c r="B110" s="18" t="s">
        <v>1329</v>
      </c>
      <c r="C110" s="18" t="s">
        <v>626</v>
      </c>
      <c r="D110" s="19" t="s">
        <v>627</v>
      </c>
      <c r="E110" s="19" t="s">
        <v>628</v>
      </c>
      <c r="F110" s="20">
        <v>12</v>
      </c>
      <c r="G110" s="20" t="s">
        <v>605</v>
      </c>
      <c r="H110" s="20">
        <v>15</v>
      </c>
      <c r="I110" s="20" t="s">
        <v>629</v>
      </c>
      <c r="J110" s="21" t="b">
        <v>0</v>
      </c>
      <c r="K110" s="21" t="b">
        <v>0</v>
      </c>
      <c r="L110" s="18">
        <f>COUNTIF(C$2:C345,C110)</f>
        <v>1</v>
      </c>
      <c r="M110" s="18" t="s">
        <v>548</v>
      </c>
      <c r="N110" s="18" t="s">
        <v>547</v>
      </c>
      <c r="O110" s="18" t="s">
        <v>12</v>
      </c>
      <c r="P110" s="33" t="s">
        <v>12</v>
      </c>
    </row>
    <row r="111" spans="1:16" ht="16" customHeight="1">
      <c r="A111" s="34" t="s">
        <v>0</v>
      </c>
      <c r="B111" s="18" t="s">
        <v>1329</v>
      </c>
      <c r="C111" s="19" t="s">
        <v>658</v>
      </c>
      <c r="D111" s="19" t="s">
        <v>659</v>
      </c>
      <c r="E111" s="19" t="s">
        <v>151</v>
      </c>
      <c r="F111" s="20">
        <v>2</v>
      </c>
      <c r="G111" s="20" t="s">
        <v>660</v>
      </c>
      <c r="H111" s="20">
        <v>5</v>
      </c>
      <c r="I111" s="20" t="s">
        <v>619</v>
      </c>
      <c r="J111" s="21" t="b">
        <v>0</v>
      </c>
      <c r="K111" s="21" t="b">
        <v>1</v>
      </c>
      <c r="L111" s="18">
        <f>COUNTIF(C$2:C346,C111)</f>
        <v>1</v>
      </c>
      <c r="M111" s="18" t="s">
        <v>547</v>
      </c>
      <c r="N111" s="18" t="s">
        <v>548</v>
      </c>
      <c r="O111" s="18" t="s">
        <v>13</v>
      </c>
      <c r="P111" s="33" t="s">
        <v>12</v>
      </c>
    </row>
    <row r="112" spans="1:16" ht="16" customHeight="1">
      <c r="A112" s="32" t="s">
        <v>42</v>
      </c>
      <c r="B112" s="18" t="s">
        <v>1329</v>
      </c>
      <c r="C112" s="18" t="s">
        <v>746</v>
      </c>
      <c r="D112" s="19" t="s">
        <v>895</v>
      </c>
      <c r="E112" s="19" t="s">
        <v>545</v>
      </c>
      <c r="F112" s="20">
        <v>2</v>
      </c>
      <c r="G112" s="20" t="s">
        <v>959</v>
      </c>
      <c r="H112" s="20">
        <v>12</v>
      </c>
      <c r="I112" s="20" t="s">
        <v>619</v>
      </c>
      <c r="J112" s="21" t="b">
        <v>0</v>
      </c>
      <c r="K112" s="21" t="b">
        <v>0</v>
      </c>
      <c r="L112" s="18">
        <f>COUNTIF(C$2:C347,C112)</f>
        <v>1</v>
      </c>
      <c r="M112" s="18" t="s">
        <v>548</v>
      </c>
      <c r="N112" s="18" t="s">
        <v>547</v>
      </c>
      <c r="O112" s="18" t="s">
        <v>12</v>
      </c>
      <c r="P112" s="33" t="s">
        <v>12</v>
      </c>
    </row>
    <row r="113" spans="1:16" ht="16" customHeight="1">
      <c r="A113" s="32" t="s">
        <v>89</v>
      </c>
      <c r="B113" s="18" t="s">
        <v>1329</v>
      </c>
      <c r="C113" s="18" t="s">
        <v>911</v>
      </c>
      <c r="D113" s="19" t="s">
        <v>955</v>
      </c>
      <c r="E113" s="19" t="s">
        <v>564</v>
      </c>
      <c r="F113" s="20">
        <v>9</v>
      </c>
      <c r="G113" s="20" t="s">
        <v>1026</v>
      </c>
      <c r="H113" s="20">
        <v>12</v>
      </c>
      <c r="I113" s="20" t="s">
        <v>619</v>
      </c>
      <c r="J113" s="21" t="b">
        <v>0</v>
      </c>
      <c r="K113" s="21" t="b">
        <v>1</v>
      </c>
      <c r="L113" s="18">
        <f>COUNTIF(C$2:C348,C113)</f>
        <v>1</v>
      </c>
      <c r="M113" s="18" t="s">
        <v>548</v>
      </c>
      <c r="N113" s="18" t="s">
        <v>547</v>
      </c>
      <c r="O113" s="18" t="s">
        <v>12</v>
      </c>
      <c r="P113" s="33" t="s">
        <v>12</v>
      </c>
    </row>
    <row r="114" spans="1:16" ht="16" customHeight="1">
      <c r="A114" s="32" t="s">
        <v>89</v>
      </c>
      <c r="B114" s="18" t="s">
        <v>1329</v>
      </c>
      <c r="C114" s="18" t="s">
        <v>907</v>
      </c>
      <c r="D114" s="19" t="s">
        <v>953</v>
      </c>
      <c r="E114" s="19" t="s">
        <v>564</v>
      </c>
      <c r="F114" s="20">
        <v>9</v>
      </c>
      <c r="G114" s="20" t="s">
        <v>1033</v>
      </c>
      <c r="H114" s="20">
        <v>12</v>
      </c>
      <c r="I114" s="20" t="s">
        <v>619</v>
      </c>
      <c r="J114" s="21" t="b">
        <v>0</v>
      </c>
      <c r="K114" s="21" t="b">
        <v>1</v>
      </c>
      <c r="L114" s="18">
        <f>COUNTIF(C$2:C349,C114)</f>
        <v>1</v>
      </c>
      <c r="M114" s="18" t="s">
        <v>548</v>
      </c>
      <c r="N114" s="18" t="s">
        <v>547</v>
      </c>
      <c r="O114" s="18" t="s">
        <v>12</v>
      </c>
      <c r="P114" s="33" t="s">
        <v>12</v>
      </c>
    </row>
    <row r="115" spans="1:16" ht="16" customHeight="1">
      <c r="A115" s="32" t="s">
        <v>89</v>
      </c>
      <c r="B115" s="18" t="s">
        <v>1329</v>
      </c>
      <c r="C115" s="18" t="s">
        <v>706</v>
      </c>
      <c r="D115" s="19" t="s">
        <v>707</v>
      </c>
      <c r="E115" s="19" t="s">
        <v>564</v>
      </c>
      <c r="F115" s="20">
        <v>11</v>
      </c>
      <c r="G115" s="20" t="s">
        <v>708</v>
      </c>
      <c r="H115" s="20">
        <v>12</v>
      </c>
      <c r="I115" s="20" t="s">
        <v>619</v>
      </c>
      <c r="J115" s="21" t="b">
        <v>0</v>
      </c>
      <c r="K115" s="21" t="b">
        <v>1</v>
      </c>
      <c r="L115" s="18">
        <f>COUNTIF(C$2:C350,C115)</f>
        <v>1</v>
      </c>
      <c r="M115" s="18" t="s">
        <v>548</v>
      </c>
      <c r="N115" s="18" t="s">
        <v>547</v>
      </c>
      <c r="O115" s="18" t="s">
        <v>12</v>
      </c>
      <c r="P115" s="33" t="s">
        <v>12</v>
      </c>
    </row>
    <row r="116" spans="1:16" ht="16" customHeight="1">
      <c r="A116" s="32" t="s">
        <v>11</v>
      </c>
      <c r="B116" s="18" t="s">
        <v>1329</v>
      </c>
      <c r="C116" s="18" t="s">
        <v>622</v>
      </c>
      <c r="D116" s="19" t="s">
        <v>252</v>
      </c>
      <c r="E116" s="19" t="s">
        <v>564</v>
      </c>
      <c r="F116" s="20">
        <v>12</v>
      </c>
      <c r="G116" s="20" t="s">
        <v>605</v>
      </c>
      <c r="H116" s="20">
        <v>12</v>
      </c>
      <c r="I116" s="20" t="s">
        <v>619</v>
      </c>
      <c r="J116" s="21" t="b">
        <v>0</v>
      </c>
      <c r="K116" s="21" t="b">
        <v>1</v>
      </c>
      <c r="L116" s="18">
        <f>COUNTIF(C$2:C351,C116)</f>
        <v>1</v>
      </c>
      <c r="M116" s="18" t="s">
        <v>548</v>
      </c>
      <c r="N116" s="18" t="s">
        <v>547</v>
      </c>
      <c r="O116" s="18" t="s">
        <v>13</v>
      </c>
      <c r="P116" s="33" t="s">
        <v>12</v>
      </c>
    </row>
    <row r="117" spans="1:16" ht="16" customHeight="1">
      <c r="A117" s="32" t="s">
        <v>113</v>
      </c>
      <c r="B117" s="18" t="s">
        <v>1329</v>
      </c>
      <c r="C117" s="18" t="s">
        <v>624</v>
      </c>
      <c r="D117" s="22" t="s">
        <v>252</v>
      </c>
      <c r="E117" s="19" t="s">
        <v>262</v>
      </c>
      <c r="F117" s="20">
        <v>12</v>
      </c>
      <c r="G117" s="20" t="s">
        <v>605</v>
      </c>
      <c r="H117" s="20">
        <v>12</v>
      </c>
      <c r="I117" s="20" t="s">
        <v>619</v>
      </c>
      <c r="J117" s="21" t="b">
        <v>0</v>
      </c>
      <c r="K117" s="21" t="b">
        <v>0</v>
      </c>
      <c r="L117" s="18">
        <f>COUNTIF(C$2:C352,C117)</f>
        <v>1</v>
      </c>
      <c r="M117" s="18" t="s">
        <v>548</v>
      </c>
      <c r="N117" s="18" t="s">
        <v>547</v>
      </c>
      <c r="O117" s="18" t="s">
        <v>12</v>
      </c>
      <c r="P117" s="33" t="s">
        <v>12</v>
      </c>
    </row>
    <row r="118" spans="1:16" ht="16" customHeight="1">
      <c r="A118" s="32" t="s">
        <v>11</v>
      </c>
      <c r="B118" s="18" t="s">
        <v>1329</v>
      </c>
      <c r="C118" s="18" t="s">
        <v>754</v>
      </c>
      <c r="D118" s="19" t="s">
        <v>123</v>
      </c>
      <c r="E118" s="19" t="s">
        <v>122</v>
      </c>
      <c r="F118" s="20">
        <v>12</v>
      </c>
      <c r="G118" s="20" t="s">
        <v>619</v>
      </c>
      <c r="H118" s="20">
        <v>12</v>
      </c>
      <c r="I118" s="20" t="s">
        <v>619</v>
      </c>
      <c r="J118" s="21" t="b">
        <v>1</v>
      </c>
      <c r="K118" s="21" t="b">
        <v>1</v>
      </c>
      <c r="L118" s="18">
        <f>COUNTIF(C$2:C353,C118)</f>
        <v>1</v>
      </c>
      <c r="M118" s="18" t="s">
        <v>548</v>
      </c>
      <c r="N118" s="18" t="s">
        <v>547</v>
      </c>
      <c r="O118" s="18" t="s">
        <v>13</v>
      </c>
      <c r="P118" s="33" t="s">
        <v>12</v>
      </c>
    </row>
    <row r="119" spans="1:16" ht="16" customHeight="1">
      <c r="A119" s="34" t="s">
        <v>11</v>
      </c>
      <c r="B119" s="18" t="s">
        <v>1329</v>
      </c>
      <c r="C119" s="19" t="s">
        <v>899</v>
      </c>
      <c r="D119" s="19" t="s">
        <v>565</v>
      </c>
      <c r="E119" s="19" t="s">
        <v>253</v>
      </c>
      <c r="F119" s="20">
        <v>12</v>
      </c>
      <c r="G119" s="20" t="s">
        <v>605</v>
      </c>
      <c r="H119" s="20">
        <v>12</v>
      </c>
      <c r="I119" s="20" t="s">
        <v>619</v>
      </c>
      <c r="J119" s="21" t="b">
        <v>1</v>
      </c>
      <c r="K119" s="21" t="b">
        <v>0</v>
      </c>
      <c r="L119" s="18">
        <f>COUNTIF(C$2:C354,C119)</f>
        <v>1</v>
      </c>
      <c r="M119" s="18" t="s">
        <v>547</v>
      </c>
      <c r="N119" s="18" t="s">
        <v>547</v>
      </c>
      <c r="O119" s="18" t="s">
        <v>13</v>
      </c>
      <c r="P119" s="33" t="s">
        <v>12</v>
      </c>
    </row>
    <row r="120" spans="1:16" ht="16" customHeight="1">
      <c r="A120" s="32" t="s">
        <v>113</v>
      </c>
      <c r="B120" s="18" t="s">
        <v>1329</v>
      </c>
      <c r="C120" s="19" t="s">
        <v>900</v>
      </c>
      <c r="D120" s="19" t="s">
        <v>565</v>
      </c>
      <c r="E120" s="19" t="s">
        <v>262</v>
      </c>
      <c r="F120" s="20">
        <v>12</v>
      </c>
      <c r="G120" s="20" t="s">
        <v>605</v>
      </c>
      <c r="H120" s="20">
        <v>12</v>
      </c>
      <c r="I120" s="20" t="s">
        <v>619</v>
      </c>
      <c r="J120" s="21" t="b">
        <v>1</v>
      </c>
      <c r="K120" s="21" t="b">
        <v>0</v>
      </c>
      <c r="L120" s="18">
        <f>COUNTIF(C$2:C355,C120)</f>
        <v>1</v>
      </c>
      <c r="M120" s="18" t="s">
        <v>547</v>
      </c>
      <c r="N120" s="18" t="s">
        <v>547</v>
      </c>
      <c r="O120" s="18" t="s">
        <v>12</v>
      </c>
      <c r="P120" s="33" t="s">
        <v>12</v>
      </c>
    </row>
    <row r="121" spans="1:16" ht="16" customHeight="1">
      <c r="A121" s="32" t="s">
        <v>89</v>
      </c>
      <c r="B121" s="18" t="s">
        <v>1329</v>
      </c>
      <c r="C121" s="19" t="s">
        <v>929</v>
      </c>
      <c r="D121" s="19" t="s">
        <v>545</v>
      </c>
      <c r="E121" s="19" t="s">
        <v>545</v>
      </c>
      <c r="F121" s="20">
        <v>12</v>
      </c>
      <c r="G121" s="20" t="s">
        <v>619</v>
      </c>
      <c r="H121" s="20">
        <v>12</v>
      </c>
      <c r="I121" s="20" t="s">
        <v>619</v>
      </c>
      <c r="J121" s="21" t="b">
        <v>0</v>
      </c>
      <c r="K121" s="21" t="b">
        <v>0</v>
      </c>
      <c r="L121" s="18">
        <f>COUNTIF(C$2:C356,C121)</f>
        <v>1</v>
      </c>
      <c r="M121" s="18" t="s">
        <v>547</v>
      </c>
      <c r="N121" s="18" t="s">
        <v>548</v>
      </c>
      <c r="O121" s="18" t="s">
        <v>12</v>
      </c>
      <c r="P121" s="33" t="s">
        <v>12</v>
      </c>
    </row>
    <row r="122" spans="1:16" ht="16" customHeight="1">
      <c r="A122" s="32" t="s">
        <v>59</v>
      </c>
      <c r="B122" s="18" t="s">
        <v>1329</v>
      </c>
      <c r="C122" s="18" t="s">
        <v>931</v>
      </c>
      <c r="D122" s="19" t="s">
        <v>550</v>
      </c>
      <c r="E122" s="19" t="s">
        <v>254</v>
      </c>
      <c r="F122" s="20">
        <v>12</v>
      </c>
      <c r="G122" s="20" t="s">
        <v>605</v>
      </c>
      <c r="H122" s="20">
        <v>12</v>
      </c>
      <c r="I122" s="20" t="s">
        <v>619</v>
      </c>
      <c r="J122" s="21" t="b">
        <v>1</v>
      </c>
      <c r="K122" s="21" t="b">
        <v>0</v>
      </c>
      <c r="L122" s="18">
        <f>COUNTIF(C$2:C357,C122)</f>
        <v>1</v>
      </c>
      <c r="M122" s="18" t="s">
        <v>548</v>
      </c>
      <c r="N122" s="18" t="s">
        <v>547</v>
      </c>
      <c r="O122" s="18" t="s">
        <v>12</v>
      </c>
      <c r="P122" s="33" t="s">
        <v>12</v>
      </c>
    </row>
    <row r="123" spans="1:16" ht="16" customHeight="1">
      <c r="A123" s="32" t="s">
        <v>113</v>
      </c>
      <c r="B123" s="18" t="s">
        <v>1329</v>
      </c>
      <c r="C123" s="19" t="s">
        <v>934</v>
      </c>
      <c r="D123" s="19" t="s">
        <v>550</v>
      </c>
      <c r="E123" s="19" t="s">
        <v>123</v>
      </c>
      <c r="F123" s="20">
        <v>12</v>
      </c>
      <c r="G123" s="20" t="s">
        <v>605</v>
      </c>
      <c r="H123" s="20">
        <v>12</v>
      </c>
      <c r="I123" s="20" t="s">
        <v>619</v>
      </c>
      <c r="J123" s="21" t="b">
        <v>1</v>
      </c>
      <c r="K123" s="21" t="b">
        <v>1</v>
      </c>
      <c r="L123" s="18">
        <f>COUNTIF(C$2:C358,C123)</f>
        <v>1</v>
      </c>
      <c r="M123" s="18" t="s">
        <v>547</v>
      </c>
      <c r="N123" s="18" t="s">
        <v>548</v>
      </c>
      <c r="O123" s="18" t="s">
        <v>12</v>
      </c>
      <c r="P123" s="33" t="s">
        <v>12</v>
      </c>
    </row>
    <row r="124" spans="1:16" ht="16" customHeight="1">
      <c r="A124" s="32" t="s">
        <v>59</v>
      </c>
      <c r="B124" s="18" t="s">
        <v>1329</v>
      </c>
      <c r="C124" s="18" t="s">
        <v>958</v>
      </c>
      <c r="D124" s="19" t="s">
        <v>261</v>
      </c>
      <c r="E124" s="19" t="s">
        <v>561</v>
      </c>
      <c r="F124" s="20">
        <v>12</v>
      </c>
      <c r="G124" s="20" t="s">
        <v>605</v>
      </c>
      <c r="H124" s="20">
        <v>12</v>
      </c>
      <c r="I124" s="20" t="s">
        <v>619</v>
      </c>
      <c r="J124" s="21" t="b">
        <v>0</v>
      </c>
      <c r="K124" s="21" t="b">
        <v>1</v>
      </c>
      <c r="L124" s="18">
        <f>COUNTIF(C$2:C359,C124)</f>
        <v>1</v>
      </c>
      <c r="M124" s="18" t="s">
        <v>548</v>
      </c>
      <c r="N124" s="18" t="s">
        <v>547</v>
      </c>
      <c r="O124" s="18" t="s">
        <v>12</v>
      </c>
      <c r="P124" s="33" t="s">
        <v>12</v>
      </c>
    </row>
    <row r="125" spans="1:16" ht="16" customHeight="1">
      <c r="A125" s="34" t="s">
        <v>11</v>
      </c>
      <c r="B125" s="18" t="s">
        <v>1329</v>
      </c>
      <c r="C125" s="19" t="s">
        <v>972</v>
      </c>
      <c r="D125" s="19" t="s">
        <v>124</v>
      </c>
      <c r="E125" s="19" t="s">
        <v>122</v>
      </c>
      <c r="F125" s="20">
        <v>12</v>
      </c>
      <c r="G125" s="20" t="s">
        <v>619</v>
      </c>
      <c r="H125" s="20">
        <v>12</v>
      </c>
      <c r="I125" s="20" t="s">
        <v>619</v>
      </c>
      <c r="J125" s="21" t="b">
        <v>1</v>
      </c>
      <c r="K125" s="21" t="b">
        <v>1</v>
      </c>
      <c r="L125" s="18">
        <f>COUNTIF(C$2:C360,C125)</f>
        <v>1</v>
      </c>
      <c r="M125" s="18" t="s">
        <v>547</v>
      </c>
      <c r="N125" s="18" t="s">
        <v>547</v>
      </c>
      <c r="O125" s="18" t="s">
        <v>13</v>
      </c>
      <c r="P125" s="33" t="s">
        <v>12</v>
      </c>
    </row>
    <row r="126" spans="1:16" ht="16" customHeight="1">
      <c r="A126" s="32" t="s">
        <v>113</v>
      </c>
      <c r="B126" s="18" t="s">
        <v>1329</v>
      </c>
      <c r="C126" s="19" t="s">
        <v>966</v>
      </c>
      <c r="D126" s="19" t="s">
        <v>666</v>
      </c>
      <c r="E126" s="19" t="s">
        <v>262</v>
      </c>
      <c r="F126" s="20">
        <v>12</v>
      </c>
      <c r="G126" s="20" t="s">
        <v>605</v>
      </c>
      <c r="H126" s="20">
        <v>12</v>
      </c>
      <c r="I126" s="20" t="s">
        <v>619</v>
      </c>
      <c r="J126" s="21" t="b">
        <v>0</v>
      </c>
      <c r="K126" s="21" t="b">
        <v>0</v>
      </c>
      <c r="L126" s="18">
        <f>COUNTIF(C$2:C361,C126)</f>
        <v>1</v>
      </c>
      <c r="M126" s="18" t="s">
        <v>547</v>
      </c>
      <c r="N126" s="18" t="s">
        <v>548</v>
      </c>
      <c r="O126" s="18" t="s">
        <v>12</v>
      </c>
      <c r="P126" s="33" t="s">
        <v>12</v>
      </c>
    </row>
    <row r="127" spans="1:16" ht="16" customHeight="1">
      <c r="A127" s="32" t="s">
        <v>113</v>
      </c>
      <c r="B127" s="18" t="s">
        <v>1329</v>
      </c>
      <c r="C127" s="18" t="s">
        <v>974</v>
      </c>
      <c r="D127" s="19" t="s">
        <v>262</v>
      </c>
      <c r="E127" s="19" t="s">
        <v>306</v>
      </c>
      <c r="F127" s="20">
        <v>12</v>
      </c>
      <c r="G127" s="20" t="s">
        <v>619</v>
      </c>
      <c r="H127" s="20">
        <v>12</v>
      </c>
      <c r="I127" s="20" t="s">
        <v>619</v>
      </c>
      <c r="J127" s="21" t="b">
        <v>0</v>
      </c>
      <c r="K127" s="21" t="b">
        <v>0</v>
      </c>
      <c r="L127" s="18">
        <f>COUNTIF(C$2:C362,C127)</f>
        <v>1</v>
      </c>
      <c r="M127" s="18" t="s">
        <v>548</v>
      </c>
      <c r="N127" s="18" t="s">
        <v>547</v>
      </c>
      <c r="O127" s="18" t="s">
        <v>12</v>
      </c>
      <c r="P127" s="33" t="s">
        <v>12</v>
      </c>
    </row>
    <row r="128" spans="1:16" ht="16" customHeight="1">
      <c r="A128" s="32" t="s">
        <v>11</v>
      </c>
      <c r="B128" s="18" t="s">
        <v>1329</v>
      </c>
      <c r="C128" s="18" t="s">
        <v>973</v>
      </c>
      <c r="D128" s="19" t="s">
        <v>262</v>
      </c>
      <c r="E128" s="19" t="s">
        <v>561</v>
      </c>
      <c r="F128" s="20">
        <v>12</v>
      </c>
      <c r="G128" s="20" t="s">
        <v>619</v>
      </c>
      <c r="H128" s="20">
        <v>12</v>
      </c>
      <c r="I128" s="20" t="s">
        <v>619</v>
      </c>
      <c r="J128" s="21" t="b">
        <v>0</v>
      </c>
      <c r="K128" s="21" t="b">
        <v>1</v>
      </c>
      <c r="L128" s="18">
        <f>COUNTIF(C$2:C363,C128)</f>
        <v>1</v>
      </c>
      <c r="M128" s="18" t="s">
        <v>548</v>
      </c>
      <c r="N128" s="18" t="s">
        <v>547</v>
      </c>
      <c r="O128" s="18" t="s">
        <v>13</v>
      </c>
      <c r="P128" s="33" t="s">
        <v>12</v>
      </c>
    </row>
    <row r="129" spans="1:16" ht="16" customHeight="1">
      <c r="A129" s="32" t="s">
        <v>42</v>
      </c>
      <c r="B129" s="18" t="s">
        <v>1329</v>
      </c>
      <c r="C129" s="18" t="s">
        <v>968</v>
      </c>
      <c r="D129" s="19" t="s">
        <v>963</v>
      </c>
      <c r="E129" s="19" t="s">
        <v>1031</v>
      </c>
      <c r="F129" s="20">
        <v>12</v>
      </c>
      <c r="G129" s="20" t="s">
        <v>619</v>
      </c>
      <c r="H129" s="20">
        <v>12</v>
      </c>
      <c r="I129" s="20" t="s">
        <v>619</v>
      </c>
      <c r="J129" s="21" t="b">
        <v>0</v>
      </c>
      <c r="K129" s="21" t="b">
        <v>0</v>
      </c>
      <c r="L129" s="18">
        <f>COUNTIF(C$2:C364,C129)</f>
        <v>1</v>
      </c>
      <c r="M129" s="18" t="s">
        <v>548</v>
      </c>
      <c r="N129" s="18" t="s">
        <v>547</v>
      </c>
      <c r="O129" s="18" t="s">
        <v>12</v>
      </c>
      <c r="P129" s="33" t="s">
        <v>12</v>
      </c>
    </row>
    <row r="130" spans="1:16" ht="16" customHeight="1">
      <c r="A130" s="32" t="s">
        <v>89</v>
      </c>
      <c r="B130" s="18" t="s">
        <v>1329</v>
      </c>
      <c r="C130" s="18" t="s">
        <v>654</v>
      </c>
      <c r="D130" s="19" t="s">
        <v>858</v>
      </c>
      <c r="E130" s="19" t="s">
        <v>126</v>
      </c>
      <c r="F130" s="20">
        <v>1</v>
      </c>
      <c r="G130" s="20" t="s">
        <v>596</v>
      </c>
      <c r="H130" s="20">
        <v>12</v>
      </c>
      <c r="I130" s="20" t="s">
        <v>620</v>
      </c>
      <c r="J130" s="21" t="b">
        <v>0</v>
      </c>
      <c r="K130" s="21" t="b">
        <v>1</v>
      </c>
      <c r="L130" s="18">
        <f>COUNTIF(C$2:C365,C130)</f>
        <v>1</v>
      </c>
      <c r="M130" s="18" t="s">
        <v>548</v>
      </c>
      <c r="N130" s="18" t="s">
        <v>547</v>
      </c>
      <c r="O130" s="18" t="s">
        <v>12</v>
      </c>
      <c r="P130" s="33" t="s">
        <v>12</v>
      </c>
    </row>
    <row r="131" spans="1:16" ht="16" customHeight="1">
      <c r="A131" s="32" t="s">
        <v>89</v>
      </c>
      <c r="B131" s="18" t="s">
        <v>1329</v>
      </c>
      <c r="C131" s="18" t="s">
        <v>755</v>
      </c>
      <c r="D131" s="19" t="s">
        <v>130</v>
      </c>
      <c r="E131" s="19" t="s">
        <v>126</v>
      </c>
      <c r="F131" s="20">
        <v>3</v>
      </c>
      <c r="G131" s="20" t="s">
        <v>994</v>
      </c>
      <c r="H131" s="20">
        <v>12</v>
      </c>
      <c r="I131" s="20" t="s">
        <v>620</v>
      </c>
      <c r="J131" s="21" t="b">
        <v>1</v>
      </c>
      <c r="K131" s="21" t="b">
        <v>1</v>
      </c>
      <c r="L131" s="18">
        <f>COUNTIF(C$2:C366,C131)</f>
        <v>1</v>
      </c>
      <c r="M131" s="18" t="s">
        <v>548</v>
      </c>
      <c r="N131" s="18" t="s">
        <v>547</v>
      </c>
      <c r="O131" s="18" t="s">
        <v>12</v>
      </c>
      <c r="P131" s="33" t="s">
        <v>12</v>
      </c>
    </row>
    <row r="132" spans="1:16" ht="16" customHeight="1">
      <c r="A132" s="32" t="s">
        <v>89</v>
      </c>
      <c r="B132" s="18" t="s">
        <v>1329</v>
      </c>
      <c r="C132" s="18" t="s">
        <v>786</v>
      </c>
      <c r="D132" s="19" t="s">
        <v>920</v>
      </c>
      <c r="E132" s="19" t="s">
        <v>126</v>
      </c>
      <c r="F132" s="20">
        <v>5</v>
      </c>
      <c r="G132" s="20" t="s">
        <v>891</v>
      </c>
      <c r="H132" s="20">
        <v>12</v>
      </c>
      <c r="I132" s="20" t="s">
        <v>620</v>
      </c>
      <c r="J132" s="21" t="b">
        <v>0</v>
      </c>
      <c r="K132" s="21" t="b">
        <v>1</v>
      </c>
      <c r="L132" s="18">
        <f>COUNTIF(C$2:C367,C132)</f>
        <v>1</v>
      </c>
      <c r="M132" s="18" t="s">
        <v>548</v>
      </c>
      <c r="N132" s="18" t="s">
        <v>547</v>
      </c>
      <c r="O132" s="18" t="s">
        <v>12</v>
      </c>
      <c r="P132" s="33" t="s">
        <v>12</v>
      </c>
    </row>
    <row r="133" spans="1:16" ht="16" customHeight="1">
      <c r="A133" s="32" t="s">
        <v>42</v>
      </c>
      <c r="B133" s="18" t="s">
        <v>1329</v>
      </c>
      <c r="C133" s="18" t="s">
        <v>692</v>
      </c>
      <c r="D133" s="19" t="s">
        <v>680</v>
      </c>
      <c r="E133" s="19" t="s">
        <v>558</v>
      </c>
      <c r="F133" s="20">
        <v>6</v>
      </c>
      <c r="G133" s="20" t="s">
        <v>574</v>
      </c>
      <c r="H133" s="20">
        <v>12</v>
      </c>
      <c r="I133" s="20" t="s">
        <v>620</v>
      </c>
      <c r="J133" s="21" t="b">
        <v>0</v>
      </c>
      <c r="K133" s="21" t="b">
        <v>1</v>
      </c>
      <c r="L133" s="18">
        <f>COUNTIF(C$2:C368,C133)</f>
        <v>1</v>
      </c>
      <c r="M133" s="18" t="s">
        <v>548</v>
      </c>
      <c r="N133" s="18" t="s">
        <v>547</v>
      </c>
      <c r="O133" s="18" t="s">
        <v>12</v>
      </c>
      <c r="P133" s="33" t="s">
        <v>12</v>
      </c>
    </row>
    <row r="134" spans="1:16" ht="16" customHeight="1">
      <c r="A134" s="32" t="s">
        <v>89</v>
      </c>
      <c r="B134" s="18" t="s">
        <v>1329</v>
      </c>
      <c r="C134" s="18" t="s">
        <v>697</v>
      </c>
      <c r="D134" s="19" t="s">
        <v>698</v>
      </c>
      <c r="E134" s="19" t="s">
        <v>126</v>
      </c>
      <c r="F134" s="20">
        <v>10</v>
      </c>
      <c r="G134" s="20" t="s">
        <v>699</v>
      </c>
      <c r="H134" s="20">
        <v>12</v>
      </c>
      <c r="I134" s="20" t="s">
        <v>620</v>
      </c>
      <c r="J134" s="21" t="b">
        <v>0</v>
      </c>
      <c r="K134" s="21" t="b">
        <v>1</v>
      </c>
      <c r="L134" s="18">
        <f>COUNTIF(C$2:C369,C134)</f>
        <v>1</v>
      </c>
      <c r="M134" s="18" t="s">
        <v>548</v>
      </c>
      <c r="N134" s="18" t="s">
        <v>547</v>
      </c>
      <c r="O134" s="18" t="s">
        <v>12</v>
      </c>
      <c r="P134" s="33" t="s">
        <v>12</v>
      </c>
    </row>
    <row r="135" spans="1:16" ht="16" customHeight="1">
      <c r="A135" s="32" t="s">
        <v>83</v>
      </c>
      <c r="B135" s="18" t="s">
        <v>1329</v>
      </c>
      <c r="C135" s="19" t="s">
        <v>618</v>
      </c>
      <c r="D135" s="19" t="s">
        <v>306</v>
      </c>
      <c r="E135" s="19" t="s">
        <v>558</v>
      </c>
      <c r="F135" s="20">
        <v>12</v>
      </c>
      <c r="G135" s="20" t="s">
        <v>619</v>
      </c>
      <c r="H135" s="20">
        <v>12</v>
      </c>
      <c r="I135" s="20" t="s">
        <v>620</v>
      </c>
      <c r="J135" s="21" t="b">
        <v>0</v>
      </c>
      <c r="K135" s="21" t="b">
        <v>1</v>
      </c>
      <c r="L135" s="18">
        <f>COUNTIF(C$2:C370,C135)</f>
        <v>1</v>
      </c>
      <c r="M135" s="18" t="s">
        <v>547</v>
      </c>
      <c r="N135" s="18" t="s">
        <v>547</v>
      </c>
      <c r="O135" s="18" t="s">
        <v>12</v>
      </c>
      <c r="P135" s="33" t="s">
        <v>12</v>
      </c>
    </row>
    <row r="136" spans="1:16" ht="16" customHeight="1">
      <c r="A136" s="32" t="s">
        <v>89</v>
      </c>
      <c r="B136" s="18" t="s">
        <v>1329</v>
      </c>
      <c r="C136" s="18" t="s">
        <v>847</v>
      </c>
      <c r="D136" s="19" t="s">
        <v>564</v>
      </c>
      <c r="E136" s="19" t="s">
        <v>126</v>
      </c>
      <c r="F136" s="20">
        <v>12</v>
      </c>
      <c r="G136" s="20" t="s">
        <v>619</v>
      </c>
      <c r="H136" s="20">
        <v>12</v>
      </c>
      <c r="I136" s="20" t="s">
        <v>620</v>
      </c>
      <c r="J136" s="21" t="b">
        <v>1</v>
      </c>
      <c r="K136" s="21" t="b">
        <v>1</v>
      </c>
      <c r="L136" s="18">
        <f>COUNTIF(C$2:C371,C136)</f>
        <v>1</v>
      </c>
      <c r="M136" s="18" t="s">
        <v>548</v>
      </c>
      <c r="N136" s="18" t="s">
        <v>547</v>
      </c>
      <c r="O136" s="18" t="s">
        <v>12</v>
      </c>
      <c r="P136" s="33" t="s">
        <v>12</v>
      </c>
    </row>
    <row r="137" spans="1:16" ht="16" customHeight="1">
      <c r="A137" s="32" t="s">
        <v>42</v>
      </c>
      <c r="B137" s="18" t="s">
        <v>1329</v>
      </c>
      <c r="C137" s="19" t="s">
        <v>938</v>
      </c>
      <c r="D137" s="19" t="s">
        <v>550</v>
      </c>
      <c r="E137" s="19" t="s">
        <v>558</v>
      </c>
      <c r="F137" s="20">
        <v>12</v>
      </c>
      <c r="G137" s="20" t="s">
        <v>605</v>
      </c>
      <c r="H137" s="20">
        <v>12</v>
      </c>
      <c r="I137" s="20" t="s">
        <v>620</v>
      </c>
      <c r="J137" s="21" t="b">
        <v>1</v>
      </c>
      <c r="K137" s="21" t="b">
        <v>1</v>
      </c>
      <c r="L137" s="18">
        <f>COUNTIF(C$2:C372,C137)</f>
        <v>1</v>
      </c>
      <c r="M137" s="18" t="s">
        <v>547</v>
      </c>
      <c r="N137" s="18" t="s">
        <v>547</v>
      </c>
      <c r="O137" s="18" t="s">
        <v>12</v>
      </c>
      <c r="P137" s="33" t="s">
        <v>12</v>
      </c>
    </row>
    <row r="138" spans="1:16" ht="16" customHeight="1">
      <c r="A138" s="32" t="s">
        <v>83</v>
      </c>
      <c r="B138" s="18" t="s">
        <v>1329</v>
      </c>
      <c r="C138" s="19" t="s">
        <v>985</v>
      </c>
      <c r="D138" s="19" t="s">
        <v>558</v>
      </c>
      <c r="E138" s="19" t="s">
        <v>293</v>
      </c>
      <c r="F138" s="20">
        <v>12</v>
      </c>
      <c r="G138" s="20" t="s">
        <v>620</v>
      </c>
      <c r="H138" s="20">
        <v>12</v>
      </c>
      <c r="I138" s="20" t="s">
        <v>620</v>
      </c>
      <c r="J138" s="21" t="b">
        <v>1</v>
      </c>
      <c r="K138" s="21" t="b">
        <v>0</v>
      </c>
      <c r="L138" s="18">
        <f>COUNTIF(C$2:C373,C138)</f>
        <v>1</v>
      </c>
      <c r="M138" s="18" t="s">
        <v>547</v>
      </c>
      <c r="N138" s="18" t="s">
        <v>547</v>
      </c>
      <c r="O138" s="18" t="s">
        <v>12</v>
      </c>
      <c r="P138" s="33" t="s">
        <v>12</v>
      </c>
    </row>
    <row r="139" spans="1:16" ht="16" customHeight="1">
      <c r="A139" s="32" t="s">
        <v>42</v>
      </c>
      <c r="B139" s="18" t="s">
        <v>1329</v>
      </c>
      <c r="C139" s="19" t="s">
        <v>610</v>
      </c>
      <c r="D139" s="19" t="s">
        <v>558</v>
      </c>
      <c r="E139" s="19" t="s">
        <v>558</v>
      </c>
      <c r="F139" s="20">
        <v>12</v>
      </c>
      <c r="G139" s="20" t="s">
        <v>620</v>
      </c>
      <c r="H139" s="20">
        <v>12</v>
      </c>
      <c r="I139" s="20" t="s">
        <v>620</v>
      </c>
      <c r="J139" s="21" t="b">
        <v>1</v>
      </c>
      <c r="K139" s="21" t="b">
        <v>1</v>
      </c>
      <c r="L139" s="18">
        <f>COUNTIF(C$2:C374,C139)</f>
        <v>2</v>
      </c>
      <c r="M139" s="18" t="s">
        <v>547</v>
      </c>
      <c r="N139" s="18" t="s">
        <v>547</v>
      </c>
      <c r="O139" s="18" t="s">
        <v>12</v>
      </c>
      <c r="P139" s="33" t="s">
        <v>12</v>
      </c>
    </row>
    <row r="140" spans="1:16" ht="16" customHeight="1">
      <c r="A140" s="32" t="s">
        <v>83</v>
      </c>
      <c r="B140" s="18" t="s">
        <v>1329</v>
      </c>
      <c r="C140" s="19" t="s">
        <v>610</v>
      </c>
      <c r="D140" s="19" t="s">
        <v>558</v>
      </c>
      <c r="E140" s="19" t="s">
        <v>558</v>
      </c>
      <c r="F140" s="20">
        <v>12</v>
      </c>
      <c r="G140" s="20" t="s">
        <v>620</v>
      </c>
      <c r="H140" s="20">
        <v>12</v>
      </c>
      <c r="I140" s="20" t="s">
        <v>620</v>
      </c>
      <c r="J140" s="21" t="b">
        <v>1</v>
      </c>
      <c r="K140" s="21" t="b">
        <v>1</v>
      </c>
      <c r="L140" s="18">
        <f>COUNTIF(C$2:C375,C140)</f>
        <v>2</v>
      </c>
      <c r="M140" s="18" t="s">
        <v>547</v>
      </c>
      <c r="N140" s="18" t="s">
        <v>547</v>
      </c>
      <c r="O140" s="18" t="s">
        <v>12</v>
      </c>
      <c r="P140" s="33" t="s">
        <v>12</v>
      </c>
    </row>
    <row r="141" spans="1:16" ht="16" customHeight="1">
      <c r="A141" s="32" t="s">
        <v>89</v>
      </c>
      <c r="B141" s="18" t="s">
        <v>1329</v>
      </c>
      <c r="C141" s="19" t="s">
        <v>990</v>
      </c>
      <c r="D141" s="19" t="s">
        <v>126</v>
      </c>
      <c r="E141" s="19" t="s">
        <v>126</v>
      </c>
      <c r="F141" s="20">
        <v>12</v>
      </c>
      <c r="G141" s="20" t="s">
        <v>620</v>
      </c>
      <c r="H141" s="20">
        <v>12</v>
      </c>
      <c r="I141" s="20" t="s">
        <v>620</v>
      </c>
      <c r="J141" s="21" t="b">
        <v>1</v>
      </c>
      <c r="K141" s="21" t="b">
        <v>1</v>
      </c>
      <c r="L141" s="18">
        <f>COUNTIF(C$2:C376,C141)</f>
        <v>1</v>
      </c>
      <c r="M141" s="18" t="s">
        <v>547</v>
      </c>
      <c r="N141" s="18" t="s">
        <v>548</v>
      </c>
      <c r="O141" s="18" t="s">
        <v>12</v>
      </c>
      <c r="P141" s="33" t="s">
        <v>12</v>
      </c>
    </row>
    <row r="142" spans="1:16" ht="16" customHeight="1">
      <c r="A142" s="34" t="s">
        <v>1</v>
      </c>
      <c r="B142" s="18" t="s">
        <v>1329</v>
      </c>
      <c r="C142" s="19" t="s">
        <v>838</v>
      </c>
      <c r="D142" s="19" t="s">
        <v>552</v>
      </c>
      <c r="E142" s="19" t="s">
        <v>126</v>
      </c>
      <c r="F142" s="20">
        <v>12</v>
      </c>
      <c r="G142" s="20" t="s">
        <v>619</v>
      </c>
      <c r="H142" s="20">
        <v>12</v>
      </c>
      <c r="I142" s="20" t="s">
        <v>620</v>
      </c>
      <c r="J142" s="21" t="b">
        <v>1</v>
      </c>
      <c r="K142" s="21" t="b">
        <v>1</v>
      </c>
      <c r="L142" s="18">
        <f>COUNTIF(C$2:C377,C142)</f>
        <v>1</v>
      </c>
      <c r="M142" s="18" t="s">
        <v>547</v>
      </c>
      <c r="N142" s="18" t="s">
        <v>548</v>
      </c>
      <c r="O142" s="18" t="s">
        <v>13</v>
      </c>
      <c r="P142" s="33" t="s">
        <v>12</v>
      </c>
    </row>
    <row r="143" spans="1:16" ht="16" customHeight="1">
      <c r="A143" s="34" t="s">
        <v>1</v>
      </c>
      <c r="B143" s="18" t="s">
        <v>1329</v>
      </c>
      <c r="C143" s="19" t="s">
        <v>652</v>
      </c>
      <c r="D143" s="19" t="s">
        <v>134</v>
      </c>
      <c r="E143" s="19" t="s">
        <v>135</v>
      </c>
      <c r="F143" s="20">
        <v>12</v>
      </c>
      <c r="G143" s="20" t="s">
        <v>620</v>
      </c>
      <c r="H143" s="20">
        <v>12</v>
      </c>
      <c r="I143" s="20" t="s">
        <v>653</v>
      </c>
      <c r="J143" s="21" t="b">
        <v>1</v>
      </c>
      <c r="K143" s="21" t="b">
        <v>0</v>
      </c>
      <c r="L143" s="18">
        <f>COUNTIF(C$2:C378,C143)</f>
        <v>1</v>
      </c>
      <c r="M143" s="18" t="s">
        <v>547</v>
      </c>
      <c r="N143" s="18" t="s">
        <v>548</v>
      </c>
      <c r="O143" s="18" t="s">
        <v>13</v>
      </c>
      <c r="P143" s="33" t="s">
        <v>12</v>
      </c>
    </row>
    <row r="144" spans="1:16" ht="16" customHeight="1">
      <c r="A144" s="34" t="s">
        <v>1</v>
      </c>
      <c r="B144" s="18" t="s">
        <v>1329</v>
      </c>
      <c r="C144" s="19" t="s">
        <v>923</v>
      </c>
      <c r="D144" s="19" t="s">
        <v>135</v>
      </c>
      <c r="E144" s="19" t="s">
        <v>136</v>
      </c>
      <c r="F144" s="20">
        <v>12</v>
      </c>
      <c r="G144" s="20" t="s">
        <v>653</v>
      </c>
      <c r="H144" s="20">
        <v>12</v>
      </c>
      <c r="I144" s="20" t="s">
        <v>653</v>
      </c>
      <c r="J144" s="21" t="b">
        <v>0</v>
      </c>
      <c r="K144" s="21" t="b">
        <v>1</v>
      </c>
      <c r="L144" s="18">
        <f>COUNTIF(C$2:C379,C144)</f>
        <v>1</v>
      </c>
      <c r="M144" s="18" t="s">
        <v>547</v>
      </c>
      <c r="N144" s="18" t="s">
        <v>548</v>
      </c>
      <c r="O144" s="18" t="s">
        <v>13</v>
      </c>
      <c r="P144" s="33" t="s">
        <v>12</v>
      </c>
    </row>
    <row r="145" spans="1:16" ht="16" customHeight="1">
      <c r="A145" s="32" t="s">
        <v>42</v>
      </c>
      <c r="B145" s="18" t="s">
        <v>1329</v>
      </c>
      <c r="C145" s="19" t="s">
        <v>928</v>
      </c>
      <c r="D145" s="19" t="s">
        <v>121</v>
      </c>
      <c r="E145" s="19" t="s">
        <v>811</v>
      </c>
      <c r="F145" s="20">
        <v>12</v>
      </c>
      <c r="G145" s="20" t="s">
        <v>605</v>
      </c>
      <c r="H145" s="20">
        <v>12</v>
      </c>
      <c r="I145" s="20" t="s">
        <v>653</v>
      </c>
      <c r="J145" s="21" t="b">
        <v>1</v>
      </c>
      <c r="K145" s="21" t="b">
        <v>0</v>
      </c>
      <c r="L145" s="18">
        <f>COUNTIF(C$2:C380,C145)</f>
        <v>1</v>
      </c>
      <c r="M145" s="18" t="s">
        <v>547</v>
      </c>
      <c r="N145" s="18" t="s">
        <v>547</v>
      </c>
      <c r="O145" s="18" t="s">
        <v>12</v>
      </c>
      <c r="P145" s="33" t="s">
        <v>12</v>
      </c>
    </row>
    <row r="146" spans="1:16" ht="16" customHeight="1">
      <c r="A146" s="32" t="s">
        <v>83</v>
      </c>
      <c r="B146" s="18" t="s">
        <v>1329</v>
      </c>
      <c r="C146" s="18" t="s">
        <v>986</v>
      </c>
      <c r="D146" s="19" t="s">
        <v>558</v>
      </c>
      <c r="E146" s="19" t="s">
        <v>158</v>
      </c>
      <c r="F146" s="20">
        <v>12</v>
      </c>
      <c r="G146" s="20" t="s">
        <v>620</v>
      </c>
      <c r="H146" s="20">
        <v>12</v>
      </c>
      <c r="I146" s="20" t="s">
        <v>653</v>
      </c>
      <c r="J146" s="21" t="b">
        <v>1</v>
      </c>
      <c r="K146" s="21" t="b">
        <v>0</v>
      </c>
      <c r="L146" s="18">
        <f>COUNTIF(C$2:C381,C146)</f>
        <v>1</v>
      </c>
      <c r="M146" s="18" t="s">
        <v>548</v>
      </c>
      <c r="N146" s="18" t="s">
        <v>547</v>
      </c>
      <c r="O146" s="18" t="s">
        <v>12</v>
      </c>
      <c r="P146" s="33" t="s">
        <v>12</v>
      </c>
    </row>
    <row r="147" spans="1:16" ht="16" customHeight="1">
      <c r="A147" s="34" t="s">
        <v>1</v>
      </c>
      <c r="B147" s="18" t="s">
        <v>1329</v>
      </c>
      <c r="C147" s="19" t="s">
        <v>980</v>
      </c>
      <c r="D147" s="19" t="s">
        <v>558</v>
      </c>
      <c r="E147" s="19" t="s">
        <v>135</v>
      </c>
      <c r="F147" s="20">
        <v>12</v>
      </c>
      <c r="G147" s="20" t="s">
        <v>620</v>
      </c>
      <c r="H147" s="20">
        <v>12</v>
      </c>
      <c r="I147" s="20" t="s">
        <v>653</v>
      </c>
      <c r="J147" s="21" t="b">
        <v>1</v>
      </c>
      <c r="K147" s="21" t="b">
        <v>0</v>
      </c>
      <c r="L147" s="18">
        <f>COUNTIF(C$2:C382,C147)</f>
        <v>1</v>
      </c>
      <c r="M147" s="18" t="s">
        <v>547</v>
      </c>
      <c r="N147" s="18" t="s">
        <v>548</v>
      </c>
      <c r="O147" s="18" t="s">
        <v>13</v>
      </c>
      <c r="P147" s="33" t="s">
        <v>12</v>
      </c>
    </row>
    <row r="148" spans="1:16" ht="16" customHeight="1">
      <c r="A148" s="32" t="s">
        <v>42</v>
      </c>
      <c r="B148" s="18" t="s">
        <v>1329</v>
      </c>
      <c r="C148" s="18" t="s">
        <v>991</v>
      </c>
      <c r="D148" s="19" t="s">
        <v>897</v>
      </c>
      <c r="E148" s="19" t="s">
        <v>687</v>
      </c>
      <c r="F148" s="20">
        <v>6</v>
      </c>
      <c r="G148" s="20" t="s">
        <v>669</v>
      </c>
      <c r="H148" s="20">
        <v>12</v>
      </c>
      <c r="I148" s="20" t="s">
        <v>653</v>
      </c>
      <c r="J148" s="21" t="b">
        <v>0</v>
      </c>
      <c r="K148" s="21" t="b">
        <v>0</v>
      </c>
      <c r="L148" s="18">
        <f>COUNTIF(C$2:C383,C148)</f>
        <v>1</v>
      </c>
      <c r="M148" s="18" t="s">
        <v>548</v>
      </c>
      <c r="N148" s="18" t="s">
        <v>547</v>
      </c>
      <c r="O148" s="18" t="s">
        <v>12</v>
      </c>
      <c r="P148" s="33" t="s">
        <v>12</v>
      </c>
    </row>
    <row r="149" spans="1:16" ht="16" customHeight="1">
      <c r="A149" s="32" t="s">
        <v>89</v>
      </c>
      <c r="B149" s="18" t="s">
        <v>1329</v>
      </c>
      <c r="C149" s="18" t="s">
        <v>766</v>
      </c>
      <c r="D149" s="19" t="s">
        <v>313</v>
      </c>
      <c r="E149" s="19" t="s">
        <v>556</v>
      </c>
      <c r="F149" s="20">
        <v>4</v>
      </c>
      <c r="G149" s="20" t="s">
        <v>649</v>
      </c>
      <c r="H149" s="20">
        <v>12</v>
      </c>
      <c r="I149" s="20" t="s">
        <v>635</v>
      </c>
      <c r="J149" s="21" t="b">
        <v>0</v>
      </c>
      <c r="K149" s="21" t="b">
        <v>1</v>
      </c>
      <c r="L149" s="18">
        <f>COUNTIF(C$2:C384,C149)</f>
        <v>1</v>
      </c>
      <c r="M149" s="18" t="s">
        <v>548</v>
      </c>
      <c r="N149" s="18" t="s">
        <v>547</v>
      </c>
      <c r="O149" s="18" t="s">
        <v>12</v>
      </c>
      <c r="P149" s="33" t="s">
        <v>12</v>
      </c>
    </row>
    <row r="150" spans="1:16" ht="16" customHeight="1">
      <c r="A150" s="32" t="s">
        <v>42</v>
      </c>
      <c r="B150" s="18" t="s">
        <v>1329</v>
      </c>
      <c r="C150" s="18" t="s">
        <v>690</v>
      </c>
      <c r="D150" s="19" t="s">
        <v>680</v>
      </c>
      <c r="E150" s="19" t="s">
        <v>260</v>
      </c>
      <c r="F150" s="20">
        <v>6</v>
      </c>
      <c r="G150" s="20" t="s">
        <v>574</v>
      </c>
      <c r="H150" s="20">
        <v>12</v>
      </c>
      <c r="I150" s="20" t="s">
        <v>635</v>
      </c>
      <c r="J150" s="21" t="b">
        <v>0</v>
      </c>
      <c r="K150" s="21" t="b">
        <v>1</v>
      </c>
      <c r="L150" s="18">
        <f>COUNTIF(C$2:C385,C150)</f>
        <v>1</v>
      </c>
      <c r="M150" s="18" t="s">
        <v>548</v>
      </c>
      <c r="N150" s="18" t="s">
        <v>547</v>
      </c>
      <c r="O150" s="18" t="s">
        <v>12</v>
      </c>
      <c r="P150" s="33" t="s">
        <v>12</v>
      </c>
    </row>
    <row r="151" spans="1:16" ht="16" customHeight="1">
      <c r="A151" s="32" t="s">
        <v>83</v>
      </c>
      <c r="B151" s="18" t="s">
        <v>1329</v>
      </c>
      <c r="C151" s="18" t="s">
        <v>834</v>
      </c>
      <c r="D151" s="19" t="s">
        <v>598</v>
      </c>
      <c r="E151" s="19" t="s">
        <v>149</v>
      </c>
      <c r="F151" s="20">
        <v>7</v>
      </c>
      <c r="G151" s="20" t="s">
        <v>592</v>
      </c>
      <c r="H151" s="20">
        <v>12</v>
      </c>
      <c r="I151" s="20" t="s">
        <v>635</v>
      </c>
      <c r="J151" s="21" t="b">
        <v>0</v>
      </c>
      <c r="K151" s="21" t="b">
        <v>0</v>
      </c>
      <c r="L151" s="18">
        <f>COUNTIF(C$2:C386,C151)</f>
        <v>1</v>
      </c>
      <c r="M151" s="18" t="s">
        <v>548</v>
      </c>
      <c r="N151" s="18" t="s">
        <v>547</v>
      </c>
      <c r="O151" s="18" t="s">
        <v>12</v>
      </c>
      <c r="P151" s="33" t="s">
        <v>12</v>
      </c>
    </row>
    <row r="152" spans="1:16" ht="16" customHeight="1">
      <c r="A152" s="32" t="s">
        <v>42</v>
      </c>
      <c r="B152" s="18" t="s">
        <v>1329</v>
      </c>
      <c r="C152" s="19" t="s">
        <v>586</v>
      </c>
      <c r="D152" s="19" t="s">
        <v>260</v>
      </c>
      <c r="E152" s="19" t="s">
        <v>260</v>
      </c>
      <c r="F152" s="20">
        <v>12</v>
      </c>
      <c r="G152" s="20" t="s">
        <v>635</v>
      </c>
      <c r="H152" s="20">
        <v>12</v>
      </c>
      <c r="I152" s="20" t="s">
        <v>635</v>
      </c>
      <c r="J152" s="21" t="b">
        <v>1</v>
      </c>
      <c r="K152" s="21" t="b">
        <v>1</v>
      </c>
      <c r="L152" s="18">
        <f>COUNTIF(C$2:C387,C152)</f>
        <v>3</v>
      </c>
      <c r="M152" s="18" t="s">
        <v>547</v>
      </c>
      <c r="N152" s="18" t="s">
        <v>548</v>
      </c>
      <c r="O152" s="18" t="s">
        <v>12</v>
      </c>
      <c r="P152" s="33" t="s">
        <v>12</v>
      </c>
    </row>
    <row r="153" spans="1:16" ht="16" customHeight="1">
      <c r="A153" s="32" t="s">
        <v>87</v>
      </c>
      <c r="B153" s="18" t="s">
        <v>1329</v>
      </c>
      <c r="C153" s="19" t="s">
        <v>586</v>
      </c>
      <c r="D153" s="19" t="s">
        <v>260</v>
      </c>
      <c r="E153" s="19" t="s">
        <v>260</v>
      </c>
      <c r="F153" s="20">
        <v>12</v>
      </c>
      <c r="G153" s="20" t="s">
        <v>635</v>
      </c>
      <c r="H153" s="20">
        <v>12</v>
      </c>
      <c r="I153" s="20" t="s">
        <v>635</v>
      </c>
      <c r="J153" s="21" t="b">
        <v>1</v>
      </c>
      <c r="K153" s="21" t="b">
        <v>1</v>
      </c>
      <c r="L153" s="18">
        <f>COUNTIF(C$2:C388,C153)</f>
        <v>3</v>
      </c>
      <c r="M153" s="18" t="s">
        <v>547</v>
      </c>
      <c r="N153" s="18" t="s">
        <v>548</v>
      </c>
      <c r="O153" s="18" t="s">
        <v>12</v>
      </c>
      <c r="P153" s="33" t="s">
        <v>12</v>
      </c>
    </row>
    <row r="154" spans="1:16" ht="16" customHeight="1">
      <c r="A154" s="34" t="s">
        <v>1</v>
      </c>
      <c r="B154" s="18" t="s">
        <v>1329</v>
      </c>
      <c r="C154" s="19" t="s">
        <v>586</v>
      </c>
      <c r="D154" s="19" t="s">
        <v>260</v>
      </c>
      <c r="E154" s="19" t="s">
        <v>260</v>
      </c>
      <c r="F154" s="20">
        <v>12</v>
      </c>
      <c r="G154" s="20" t="s">
        <v>635</v>
      </c>
      <c r="H154" s="20">
        <v>12</v>
      </c>
      <c r="I154" s="20" t="s">
        <v>635</v>
      </c>
      <c r="J154" s="21" t="b">
        <v>1</v>
      </c>
      <c r="K154" s="21" t="b">
        <v>1</v>
      </c>
      <c r="L154" s="18">
        <f>COUNTIF(C$2:C389,C154)</f>
        <v>3</v>
      </c>
      <c r="M154" s="18" t="s">
        <v>547</v>
      </c>
      <c r="N154" s="18" t="s">
        <v>548</v>
      </c>
      <c r="O154" s="18" t="s">
        <v>13</v>
      </c>
      <c r="P154" s="33" t="s">
        <v>12</v>
      </c>
    </row>
    <row r="155" spans="1:16" ht="16" customHeight="1">
      <c r="A155" s="34" t="s">
        <v>1</v>
      </c>
      <c r="B155" s="18" t="s">
        <v>1329</v>
      </c>
      <c r="C155" s="19" t="s">
        <v>893</v>
      </c>
      <c r="D155" s="19" t="s">
        <v>136</v>
      </c>
      <c r="E155" s="19" t="s">
        <v>137</v>
      </c>
      <c r="F155" s="20">
        <v>12</v>
      </c>
      <c r="G155" s="20" t="s">
        <v>653</v>
      </c>
      <c r="H155" s="20">
        <v>12</v>
      </c>
      <c r="I155" s="20" t="s">
        <v>635</v>
      </c>
      <c r="J155" s="21" t="b">
        <v>1</v>
      </c>
      <c r="K155" s="21" t="b">
        <v>0</v>
      </c>
      <c r="L155" s="18">
        <f>COUNTIF(C$2:C390,C155)</f>
        <v>1</v>
      </c>
      <c r="M155" s="18" t="s">
        <v>547</v>
      </c>
      <c r="N155" s="18" t="s">
        <v>548</v>
      </c>
      <c r="O155" s="18" t="s">
        <v>13</v>
      </c>
      <c r="P155" s="33" t="s">
        <v>12</v>
      </c>
    </row>
    <row r="156" spans="1:16" ht="16" customHeight="1">
      <c r="A156" s="34" t="s">
        <v>1</v>
      </c>
      <c r="B156" s="18" t="s">
        <v>1329</v>
      </c>
      <c r="C156" s="19" t="s">
        <v>922</v>
      </c>
      <c r="D156" s="19" t="s">
        <v>135</v>
      </c>
      <c r="E156" s="19" t="s">
        <v>260</v>
      </c>
      <c r="F156" s="20">
        <v>12</v>
      </c>
      <c r="G156" s="20" t="s">
        <v>653</v>
      </c>
      <c r="H156" s="20">
        <v>12</v>
      </c>
      <c r="I156" s="20" t="s">
        <v>635</v>
      </c>
      <c r="J156" s="21" t="b">
        <v>0</v>
      </c>
      <c r="K156" s="21" t="b">
        <v>1</v>
      </c>
      <c r="L156" s="18">
        <f>COUNTIF(C$2:C391,C156)</f>
        <v>1</v>
      </c>
      <c r="M156" s="18" t="s">
        <v>547</v>
      </c>
      <c r="N156" s="18" t="s">
        <v>548</v>
      </c>
      <c r="O156" s="18" t="s">
        <v>13</v>
      </c>
      <c r="P156" s="33" t="s">
        <v>12</v>
      </c>
    </row>
    <row r="157" spans="1:16" ht="16" customHeight="1">
      <c r="A157" s="32" t="s">
        <v>89</v>
      </c>
      <c r="B157" s="18" t="s">
        <v>1329</v>
      </c>
      <c r="C157" s="19" t="s">
        <v>941</v>
      </c>
      <c r="D157" s="19" t="s">
        <v>815</v>
      </c>
      <c r="E157" s="19" t="s">
        <v>815</v>
      </c>
      <c r="F157" s="20">
        <v>12</v>
      </c>
      <c r="G157" s="20" t="s">
        <v>635</v>
      </c>
      <c r="H157" s="20">
        <v>12</v>
      </c>
      <c r="I157" s="20" t="s">
        <v>635</v>
      </c>
      <c r="J157" s="21" t="b">
        <v>0</v>
      </c>
      <c r="K157" s="21" t="b">
        <v>0</v>
      </c>
      <c r="L157" s="18">
        <f>COUNTIF(C$2:C392,C157)</f>
        <v>1</v>
      </c>
      <c r="M157" s="18" t="s">
        <v>547</v>
      </c>
      <c r="N157" s="18" t="s">
        <v>548</v>
      </c>
      <c r="O157" s="18" t="s">
        <v>12</v>
      </c>
      <c r="P157" s="33" t="s">
        <v>12</v>
      </c>
    </row>
    <row r="158" spans="1:16" ht="16" customHeight="1">
      <c r="A158" s="32" t="s">
        <v>42</v>
      </c>
      <c r="B158" s="18" t="s">
        <v>1329</v>
      </c>
      <c r="C158" s="19" t="s">
        <v>944</v>
      </c>
      <c r="D158" s="19" t="s">
        <v>149</v>
      </c>
      <c r="E158" s="19" t="s">
        <v>260</v>
      </c>
      <c r="F158" s="20">
        <v>12</v>
      </c>
      <c r="G158" s="20" t="s">
        <v>635</v>
      </c>
      <c r="H158" s="20">
        <v>12</v>
      </c>
      <c r="I158" s="20" t="s">
        <v>635</v>
      </c>
      <c r="J158" s="21" t="b">
        <v>0</v>
      </c>
      <c r="K158" s="21" t="b">
        <v>1</v>
      </c>
      <c r="L158" s="18">
        <f>COUNTIF(C$2:C393,C158)</f>
        <v>1</v>
      </c>
      <c r="M158" s="18" t="s">
        <v>547</v>
      </c>
      <c r="N158" s="18" t="s">
        <v>548</v>
      </c>
      <c r="O158" s="18" t="s">
        <v>12</v>
      </c>
      <c r="P158" s="33" t="s">
        <v>12</v>
      </c>
    </row>
    <row r="159" spans="1:16" ht="16" customHeight="1">
      <c r="A159" s="34" t="s">
        <v>1</v>
      </c>
      <c r="B159" s="18" t="s">
        <v>1329</v>
      </c>
      <c r="C159" s="19" t="s">
        <v>948</v>
      </c>
      <c r="D159" s="19" t="s">
        <v>149</v>
      </c>
      <c r="E159" s="19" t="s">
        <v>149</v>
      </c>
      <c r="F159" s="20">
        <v>12</v>
      </c>
      <c r="G159" s="20" t="s">
        <v>635</v>
      </c>
      <c r="H159" s="20">
        <v>12</v>
      </c>
      <c r="I159" s="20" t="s">
        <v>635</v>
      </c>
      <c r="J159" s="21" t="b">
        <v>0</v>
      </c>
      <c r="K159" s="21" t="b">
        <v>0</v>
      </c>
      <c r="L159" s="18">
        <f>COUNTIF(C$2:C394,C159)</f>
        <v>1</v>
      </c>
      <c r="M159" s="18" t="s">
        <v>547</v>
      </c>
      <c r="N159" s="18" t="s">
        <v>548</v>
      </c>
      <c r="O159" s="18" t="s">
        <v>13</v>
      </c>
      <c r="P159" s="33" t="s">
        <v>12</v>
      </c>
    </row>
    <row r="160" spans="1:16" ht="16" customHeight="1">
      <c r="A160" s="32" t="s">
        <v>89</v>
      </c>
      <c r="B160" s="18" t="s">
        <v>1329</v>
      </c>
      <c r="C160" s="19" t="s">
        <v>960</v>
      </c>
      <c r="D160" s="19" t="s">
        <v>281</v>
      </c>
      <c r="E160" s="19" t="s">
        <v>633</v>
      </c>
      <c r="F160" s="20">
        <v>12</v>
      </c>
      <c r="G160" s="20" t="s">
        <v>635</v>
      </c>
      <c r="H160" s="20">
        <v>12</v>
      </c>
      <c r="I160" s="20" t="s">
        <v>635</v>
      </c>
      <c r="J160" s="21" t="b">
        <v>1</v>
      </c>
      <c r="K160" s="21" t="b">
        <v>0</v>
      </c>
      <c r="L160" s="18">
        <f>COUNTIF(C$2:C395,C160)</f>
        <v>1</v>
      </c>
      <c r="M160" s="18" t="s">
        <v>547</v>
      </c>
      <c r="N160" s="18" t="s">
        <v>547</v>
      </c>
      <c r="O160" s="18" t="s">
        <v>12</v>
      </c>
      <c r="P160" s="33" t="s">
        <v>12</v>
      </c>
    </row>
    <row r="161" spans="1:16" ht="16" customHeight="1">
      <c r="A161" s="32" t="s">
        <v>87</v>
      </c>
      <c r="B161" s="18" t="s">
        <v>1329</v>
      </c>
      <c r="C161" s="18" t="s">
        <v>940</v>
      </c>
      <c r="D161" s="19" t="s">
        <v>296</v>
      </c>
      <c r="E161" s="19" t="s">
        <v>260</v>
      </c>
      <c r="F161" s="20">
        <v>12</v>
      </c>
      <c r="G161" s="20" t="s">
        <v>649</v>
      </c>
      <c r="H161" s="20">
        <v>12</v>
      </c>
      <c r="I161" s="20" t="s">
        <v>635</v>
      </c>
      <c r="J161" s="21" t="b">
        <v>0</v>
      </c>
      <c r="K161" s="21" t="b">
        <v>1</v>
      </c>
      <c r="L161" s="18">
        <f>COUNTIF(C$2:C396,C161)</f>
        <v>2</v>
      </c>
      <c r="M161" s="18" t="s">
        <v>548</v>
      </c>
      <c r="N161" s="18" t="s">
        <v>547</v>
      </c>
      <c r="O161" s="18" t="s">
        <v>12</v>
      </c>
      <c r="P161" s="33" t="s">
        <v>12</v>
      </c>
    </row>
    <row r="162" spans="1:16" ht="16" customHeight="1">
      <c r="A162" s="32" t="s">
        <v>87</v>
      </c>
      <c r="B162" s="18" t="s">
        <v>1329</v>
      </c>
      <c r="C162" s="19" t="s">
        <v>947</v>
      </c>
      <c r="D162" s="19" t="s">
        <v>296</v>
      </c>
      <c r="E162" s="19" t="s">
        <v>281</v>
      </c>
      <c r="F162" s="20">
        <v>12</v>
      </c>
      <c r="G162" s="20" t="s">
        <v>649</v>
      </c>
      <c r="H162" s="20">
        <v>12</v>
      </c>
      <c r="I162" s="20" t="s">
        <v>635</v>
      </c>
      <c r="J162" s="21" t="b">
        <v>0</v>
      </c>
      <c r="K162" s="21" t="b">
        <v>1</v>
      </c>
      <c r="L162" s="18">
        <f>COUNTIF(C$2:C397,C162)</f>
        <v>1</v>
      </c>
      <c r="M162" s="18" t="s">
        <v>547</v>
      </c>
      <c r="N162" s="18" t="s">
        <v>548</v>
      </c>
      <c r="O162" s="18" t="s">
        <v>12</v>
      </c>
      <c r="P162" s="33" t="s">
        <v>12</v>
      </c>
    </row>
    <row r="163" spans="1:16" ht="16" customHeight="1">
      <c r="A163" s="32" t="s">
        <v>87</v>
      </c>
      <c r="B163" s="18" t="s">
        <v>1329</v>
      </c>
      <c r="C163" s="19" t="s">
        <v>949</v>
      </c>
      <c r="D163" s="19" t="s">
        <v>296</v>
      </c>
      <c r="E163" s="19" t="s">
        <v>287</v>
      </c>
      <c r="F163" s="20">
        <v>12</v>
      </c>
      <c r="G163" s="20" t="s">
        <v>649</v>
      </c>
      <c r="H163" s="20">
        <v>12</v>
      </c>
      <c r="I163" s="20" t="s">
        <v>635</v>
      </c>
      <c r="J163" s="21" t="b">
        <v>0</v>
      </c>
      <c r="K163" s="21" t="b">
        <v>1</v>
      </c>
      <c r="L163" s="18">
        <f>COUNTIF(C$2:C398,C163)</f>
        <v>1</v>
      </c>
      <c r="M163" s="18" t="s">
        <v>547</v>
      </c>
      <c r="N163" s="18" t="s">
        <v>548</v>
      </c>
      <c r="O163" s="18" t="s">
        <v>12</v>
      </c>
      <c r="P163" s="33" t="s">
        <v>12</v>
      </c>
    </row>
    <row r="164" spans="1:16" ht="16" customHeight="1">
      <c r="A164" s="32" t="s">
        <v>42</v>
      </c>
      <c r="B164" s="18" t="s">
        <v>1329</v>
      </c>
      <c r="C164" s="19" t="s">
        <v>983</v>
      </c>
      <c r="D164" s="19" t="s">
        <v>558</v>
      </c>
      <c r="E164" s="19" t="s">
        <v>553</v>
      </c>
      <c r="F164" s="20">
        <v>12</v>
      </c>
      <c r="G164" s="20" t="s">
        <v>620</v>
      </c>
      <c r="H164" s="20">
        <v>12</v>
      </c>
      <c r="I164" s="20" t="s">
        <v>635</v>
      </c>
      <c r="J164" s="21" t="b">
        <v>1</v>
      </c>
      <c r="K164" s="21" t="b">
        <v>1</v>
      </c>
      <c r="L164" s="18">
        <f>COUNTIF(C$2:C399,C164)</f>
        <v>1</v>
      </c>
      <c r="M164" s="18" t="s">
        <v>547</v>
      </c>
      <c r="N164" s="18" t="s">
        <v>547</v>
      </c>
      <c r="O164" s="18" t="s">
        <v>12</v>
      </c>
      <c r="P164" s="33" t="s">
        <v>12</v>
      </c>
    </row>
    <row r="165" spans="1:16" ht="16" customHeight="1">
      <c r="A165" s="32" t="s">
        <v>83</v>
      </c>
      <c r="B165" s="18" t="s">
        <v>1329</v>
      </c>
      <c r="C165" s="19" t="s">
        <v>987</v>
      </c>
      <c r="D165" s="19" t="s">
        <v>558</v>
      </c>
      <c r="E165" s="19" t="s">
        <v>149</v>
      </c>
      <c r="F165" s="20">
        <v>12</v>
      </c>
      <c r="G165" s="20" t="s">
        <v>620</v>
      </c>
      <c r="H165" s="20">
        <v>12</v>
      </c>
      <c r="I165" s="20" t="s">
        <v>635</v>
      </c>
      <c r="J165" s="21" t="b">
        <v>1</v>
      </c>
      <c r="K165" s="21" t="b">
        <v>0</v>
      </c>
      <c r="L165" s="18">
        <f>COUNTIF(C$2:C400,C165)</f>
        <v>1</v>
      </c>
      <c r="M165" s="18" t="s">
        <v>547</v>
      </c>
      <c r="N165" s="18" t="s">
        <v>548</v>
      </c>
      <c r="O165" s="18" t="s">
        <v>12</v>
      </c>
      <c r="P165" s="33" t="s">
        <v>12</v>
      </c>
    </row>
    <row r="166" spans="1:16" ht="16" customHeight="1">
      <c r="A166" s="32" t="s">
        <v>89</v>
      </c>
      <c r="B166" s="18" t="s">
        <v>1329</v>
      </c>
      <c r="C166" s="19" t="s">
        <v>988</v>
      </c>
      <c r="D166" s="19" t="s">
        <v>126</v>
      </c>
      <c r="E166" s="19" t="s">
        <v>137</v>
      </c>
      <c r="F166" s="20">
        <v>12</v>
      </c>
      <c r="G166" s="20" t="s">
        <v>620</v>
      </c>
      <c r="H166" s="20">
        <v>12</v>
      </c>
      <c r="I166" s="20" t="s">
        <v>635</v>
      </c>
      <c r="J166" s="21" t="b">
        <v>1</v>
      </c>
      <c r="K166" s="21" t="b">
        <v>0</v>
      </c>
      <c r="L166" s="18">
        <f>COUNTIF(C$2:C401,C166)</f>
        <v>1</v>
      </c>
      <c r="M166" s="18" t="s">
        <v>547</v>
      </c>
      <c r="N166" s="18" t="s">
        <v>547</v>
      </c>
      <c r="O166" s="18" t="s">
        <v>12</v>
      </c>
      <c r="P166" s="33" t="s">
        <v>12</v>
      </c>
    </row>
    <row r="167" spans="1:16" ht="16" customHeight="1">
      <c r="A167" s="32" t="s">
        <v>89</v>
      </c>
      <c r="B167" s="18" t="s">
        <v>1329</v>
      </c>
      <c r="C167" s="19" t="s">
        <v>989</v>
      </c>
      <c r="D167" s="19" t="s">
        <v>126</v>
      </c>
      <c r="E167" s="19" t="s">
        <v>556</v>
      </c>
      <c r="F167" s="20">
        <v>12</v>
      </c>
      <c r="G167" s="20" t="s">
        <v>620</v>
      </c>
      <c r="H167" s="20">
        <v>12</v>
      </c>
      <c r="I167" s="20" t="s">
        <v>635</v>
      </c>
      <c r="J167" s="21" t="b">
        <v>1</v>
      </c>
      <c r="K167" s="21" t="b">
        <v>1</v>
      </c>
      <c r="L167" s="18">
        <f>COUNTIF(C$2:C402,C167)</f>
        <v>1</v>
      </c>
      <c r="M167" s="18" t="s">
        <v>547</v>
      </c>
      <c r="N167" s="18" t="s">
        <v>547</v>
      </c>
      <c r="O167" s="18" t="s">
        <v>12</v>
      </c>
      <c r="P167" s="33" t="s">
        <v>12</v>
      </c>
    </row>
    <row r="168" spans="1:16" ht="16" customHeight="1">
      <c r="A168" s="32" t="s">
        <v>11</v>
      </c>
      <c r="B168" s="18" t="s">
        <v>1329</v>
      </c>
      <c r="C168" s="18" t="s">
        <v>961</v>
      </c>
      <c r="D168" s="19" t="s">
        <v>677</v>
      </c>
      <c r="E168" s="19" t="s">
        <v>260</v>
      </c>
      <c r="F168" s="20">
        <v>12</v>
      </c>
      <c r="G168" s="20" t="s">
        <v>605</v>
      </c>
      <c r="H168" s="20">
        <v>12</v>
      </c>
      <c r="I168" s="20" t="s">
        <v>635</v>
      </c>
      <c r="J168" s="21" t="b">
        <v>0</v>
      </c>
      <c r="K168" s="21" t="b">
        <v>1</v>
      </c>
      <c r="L168" s="18">
        <f>COUNTIF(C$2:C403,C168)</f>
        <v>1</v>
      </c>
      <c r="M168" s="18" t="s">
        <v>548</v>
      </c>
      <c r="N168" s="18" t="s">
        <v>547</v>
      </c>
      <c r="O168" s="18" t="s">
        <v>13</v>
      </c>
      <c r="P168" s="33" t="s">
        <v>12</v>
      </c>
    </row>
    <row r="169" spans="1:16" ht="16" customHeight="1">
      <c r="A169" s="32" t="s">
        <v>42</v>
      </c>
      <c r="B169" s="18" t="s">
        <v>1329</v>
      </c>
      <c r="C169" s="18" t="s">
        <v>992</v>
      </c>
      <c r="D169" s="19" t="s">
        <v>811</v>
      </c>
      <c r="E169" s="19" t="s">
        <v>259</v>
      </c>
      <c r="F169" s="20">
        <v>12</v>
      </c>
      <c r="G169" s="20" t="s">
        <v>653</v>
      </c>
      <c r="H169" s="20">
        <v>12</v>
      </c>
      <c r="I169" s="20" t="s">
        <v>635</v>
      </c>
      <c r="J169" s="21" t="b">
        <v>0</v>
      </c>
      <c r="K169" s="21" t="b">
        <v>1</v>
      </c>
      <c r="L169" s="18">
        <f>COUNTIF(C$2:C404,C169)</f>
        <v>1</v>
      </c>
      <c r="M169" s="18" t="s">
        <v>548</v>
      </c>
      <c r="N169" s="18" t="s">
        <v>547</v>
      </c>
      <c r="O169" s="18" t="s">
        <v>12</v>
      </c>
      <c r="P169" s="33" t="s">
        <v>12</v>
      </c>
    </row>
    <row r="170" spans="1:16" ht="16" customHeight="1">
      <c r="A170" s="32" t="s">
        <v>83</v>
      </c>
      <c r="B170" s="18" t="s">
        <v>1329</v>
      </c>
      <c r="C170" s="18" t="s">
        <v>970</v>
      </c>
      <c r="D170" s="19" t="s">
        <v>262</v>
      </c>
      <c r="E170" s="19" t="s">
        <v>281</v>
      </c>
      <c r="F170" s="20">
        <v>12</v>
      </c>
      <c r="G170" s="20" t="s">
        <v>619</v>
      </c>
      <c r="H170" s="20">
        <v>12</v>
      </c>
      <c r="I170" s="20" t="s">
        <v>635</v>
      </c>
      <c r="J170" s="21" t="b">
        <v>0</v>
      </c>
      <c r="K170" s="21" t="b">
        <v>1</v>
      </c>
      <c r="L170" s="18">
        <f>COUNTIF(C$2:C405,C170)</f>
        <v>1</v>
      </c>
      <c r="M170" s="18" t="s">
        <v>548</v>
      </c>
      <c r="N170" s="18" t="s">
        <v>547</v>
      </c>
      <c r="O170" s="18" t="s">
        <v>12</v>
      </c>
      <c r="P170" s="33" t="s">
        <v>12</v>
      </c>
    </row>
    <row r="171" spans="1:16" ht="16" customHeight="1">
      <c r="A171" s="32" t="s">
        <v>6</v>
      </c>
      <c r="B171" s="18" t="s">
        <v>1329</v>
      </c>
      <c r="C171" s="18" t="s">
        <v>818</v>
      </c>
      <c r="D171" s="19" t="s">
        <v>819</v>
      </c>
      <c r="E171" s="19" t="s">
        <v>820</v>
      </c>
      <c r="F171" s="20">
        <v>13</v>
      </c>
      <c r="G171" s="20" t="s">
        <v>821</v>
      </c>
      <c r="H171" s="20">
        <v>15</v>
      </c>
      <c r="I171" s="20" t="s">
        <v>822</v>
      </c>
      <c r="J171" s="21" t="b">
        <v>0</v>
      </c>
      <c r="K171" s="21" t="b">
        <v>0</v>
      </c>
      <c r="L171" s="18">
        <f>COUNTIF(C$2:C406,C171)</f>
        <v>1</v>
      </c>
      <c r="M171" s="18" t="s">
        <v>548</v>
      </c>
      <c r="N171" s="18" t="s">
        <v>547</v>
      </c>
      <c r="O171" s="18" t="s">
        <v>13</v>
      </c>
      <c r="P171" s="33" t="s">
        <v>12</v>
      </c>
    </row>
    <row r="172" spans="1:16" ht="16" customHeight="1">
      <c r="A172" s="32" t="s">
        <v>87</v>
      </c>
      <c r="B172" s="18" t="s">
        <v>1329</v>
      </c>
      <c r="C172" s="18" t="s">
        <v>725</v>
      </c>
      <c r="D172" s="19" t="s">
        <v>726</v>
      </c>
      <c r="E172" s="19" t="s">
        <v>298</v>
      </c>
      <c r="F172" s="20">
        <v>5</v>
      </c>
      <c r="G172" s="20" t="s">
        <v>727</v>
      </c>
      <c r="H172" s="20">
        <v>12</v>
      </c>
      <c r="I172" s="20" t="s">
        <v>728</v>
      </c>
      <c r="J172" s="21" t="b">
        <v>0</v>
      </c>
      <c r="K172" s="21" t="b">
        <v>0</v>
      </c>
      <c r="L172" s="18">
        <f>COUNTIF(C$2:C407,C172)</f>
        <v>1</v>
      </c>
      <c r="M172" s="18" t="s">
        <v>548</v>
      </c>
      <c r="N172" s="18" t="s">
        <v>547</v>
      </c>
      <c r="O172" s="18" t="s">
        <v>12</v>
      </c>
      <c r="P172" s="33" t="s">
        <v>12</v>
      </c>
    </row>
    <row r="173" spans="1:16" ht="16" customHeight="1">
      <c r="A173" s="32" t="s">
        <v>87</v>
      </c>
      <c r="B173" s="18" t="s">
        <v>1329</v>
      </c>
      <c r="C173" s="18" t="s">
        <v>962</v>
      </c>
      <c r="D173" s="19" t="s">
        <v>281</v>
      </c>
      <c r="E173" s="19" t="s">
        <v>298</v>
      </c>
      <c r="F173" s="20">
        <v>12</v>
      </c>
      <c r="G173" s="20" t="s">
        <v>635</v>
      </c>
      <c r="H173" s="20">
        <v>12</v>
      </c>
      <c r="I173" s="20" t="s">
        <v>728</v>
      </c>
      <c r="J173" s="21" t="b">
        <v>1</v>
      </c>
      <c r="K173" s="21" t="b">
        <v>0</v>
      </c>
      <c r="L173" s="18">
        <f>COUNTIF(C$2:C408,C173)</f>
        <v>1</v>
      </c>
      <c r="M173" s="18" t="s">
        <v>548</v>
      </c>
      <c r="N173" s="18" t="s">
        <v>547</v>
      </c>
      <c r="O173" s="18" t="s">
        <v>12</v>
      </c>
      <c r="P173" s="33" t="s">
        <v>12</v>
      </c>
    </row>
    <row r="174" spans="1:16" ht="16" customHeight="1">
      <c r="A174" s="32" t="s">
        <v>89</v>
      </c>
      <c r="B174" s="18" t="s">
        <v>1329</v>
      </c>
      <c r="C174" s="19" t="s">
        <v>887</v>
      </c>
      <c r="D174" s="19" t="s">
        <v>788</v>
      </c>
      <c r="E174" s="19" t="s">
        <v>788</v>
      </c>
      <c r="F174" s="20">
        <v>7</v>
      </c>
      <c r="G174" s="20" t="s">
        <v>1003</v>
      </c>
      <c r="H174" s="20">
        <v>7</v>
      </c>
      <c r="I174" s="20" t="s">
        <v>1003</v>
      </c>
      <c r="J174" s="21" t="b">
        <v>0</v>
      </c>
      <c r="K174" s="21" t="b">
        <v>0</v>
      </c>
      <c r="L174" s="18">
        <f>COUNTIF(C$2:C409,C174)</f>
        <v>1</v>
      </c>
      <c r="M174" s="18" t="s">
        <v>547</v>
      </c>
      <c r="N174" s="18" t="s">
        <v>548</v>
      </c>
      <c r="O174" s="18" t="s">
        <v>12</v>
      </c>
      <c r="P174" s="33" t="s">
        <v>12</v>
      </c>
    </row>
    <row r="175" spans="1:16" ht="16" customHeight="1">
      <c r="A175" s="32" t="s">
        <v>99</v>
      </c>
      <c r="B175" s="18" t="s">
        <v>1329</v>
      </c>
      <c r="C175" s="18" t="s">
        <v>840</v>
      </c>
      <c r="D175" s="19" t="s">
        <v>787</v>
      </c>
      <c r="E175" s="19" t="s">
        <v>841</v>
      </c>
      <c r="F175" s="20">
        <v>7</v>
      </c>
      <c r="G175" s="20" t="s">
        <v>642</v>
      </c>
      <c r="H175" s="20">
        <v>7</v>
      </c>
      <c r="I175" s="20" t="s">
        <v>842</v>
      </c>
      <c r="J175" s="21" t="b">
        <v>0</v>
      </c>
      <c r="K175" s="21" t="b">
        <v>0</v>
      </c>
      <c r="L175" s="18">
        <f>COUNTIF(C$2:C410,C175)</f>
        <v>1</v>
      </c>
      <c r="M175" s="18" t="s">
        <v>548</v>
      </c>
      <c r="N175" s="18" t="s">
        <v>547</v>
      </c>
      <c r="O175" s="18" t="s">
        <v>12</v>
      </c>
      <c r="P175" s="33" t="s">
        <v>12</v>
      </c>
    </row>
    <row r="176" spans="1:16" ht="16" customHeight="1">
      <c r="A176" s="32" t="s">
        <v>51</v>
      </c>
      <c r="B176" s="18" t="s">
        <v>1329</v>
      </c>
      <c r="C176" s="19" t="s">
        <v>814</v>
      </c>
      <c r="D176" s="19" t="s">
        <v>408</v>
      </c>
      <c r="E176" s="19" t="s">
        <v>555</v>
      </c>
      <c r="F176" s="20">
        <v>7</v>
      </c>
      <c r="G176" s="20" t="s">
        <v>592</v>
      </c>
      <c r="H176" s="20">
        <v>7</v>
      </c>
      <c r="I176" s="20" t="s">
        <v>774</v>
      </c>
      <c r="J176" s="21" t="b">
        <v>1</v>
      </c>
      <c r="K176" s="21" t="b">
        <v>1</v>
      </c>
      <c r="L176" s="18">
        <f>COUNTIF(C$2:C411,C176)</f>
        <v>1</v>
      </c>
      <c r="M176" s="18" t="s">
        <v>547</v>
      </c>
      <c r="N176" s="18" t="s">
        <v>548</v>
      </c>
      <c r="O176" s="18" t="s">
        <v>12</v>
      </c>
      <c r="P176" s="33" t="s">
        <v>12</v>
      </c>
    </row>
    <row r="177" spans="1:16" ht="16" customHeight="1">
      <c r="A177" s="32" t="s">
        <v>113</v>
      </c>
      <c r="B177" s="18" t="s">
        <v>1329</v>
      </c>
      <c r="C177" s="18" t="s">
        <v>771</v>
      </c>
      <c r="D177" s="22" t="s">
        <v>772</v>
      </c>
      <c r="E177" s="19" t="s">
        <v>773</v>
      </c>
      <c r="F177" s="20">
        <v>12</v>
      </c>
      <c r="G177" s="20" t="s">
        <v>774</v>
      </c>
      <c r="H177" s="20">
        <v>12</v>
      </c>
      <c r="I177" s="20" t="s">
        <v>774</v>
      </c>
      <c r="J177" s="21" t="b">
        <v>0</v>
      </c>
      <c r="K177" s="21" t="b">
        <v>0</v>
      </c>
      <c r="L177" s="18">
        <f>COUNTIF(C$2:C412,C177)</f>
        <v>1</v>
      </c>
      <c r="M177" s="18" t="s">
        <v>548</v>
      </c>
      <c r="N177" s="18" t="s">
        <v>547</v>
      </c>
      <c r="O177" s="18" t="s">
        <v>12</v>
      </c>
      <c r="P177" s="33" t="s">
        <v>12</v>
      </c>
    </row>
    <row r="178" spans="1:16" ht="16" customHeight="1">
      <c r="A178" s="32" t="s">
        <v>45</v>
      </c>
      <c r="B178" s="18" t="s">
        <v>1329</v>
      </c>
      <c r="C178" s="19" t="s">
        <v>1009</v>
      </c>
      <c r="D178" s="19" t="s">
        <v>830</v>
      </c>
      <c r="E178" s="19" t="s">
        <v>830</v>
      </c>
      <c r="F178" s="20">
        <v>15</v>
      </c>
      <c r="G178" s="20" t="s">
        <v>774</v>
      </c>
      <c r="H178" s="20">
        <v>15</v>
      </c>
      <c r="I178" s="20" t="s">
        <v>774</v>
      </c>
      <c r="J178" s="21" t="b">
        <v>0</v>
      </c>
      <c r="K178" s="21" t="b">
        <v>0</v>
      </c>
      <c r="L178" s="18">
        <f>COUNTIF(C$2:C413,C178)</f>
        <v>1</v>
      </c>
      <c r="M178" s="18" t="s">
        <v>547</v>
      </c>
      <c r="N178" s="18" t="s">
        <v>548</v>
      </c>
      <c r="O178" s="18" t="s">
        <v>12</v>
      </c>
      <c r="P178" s="33" t="s">
        <v>12</v>
      </c>
    </row>
    <row r="179" spans="1:16" ht="16" customHeight="1">
      <c r="A179" s="32" t="s">
        <v>18</v>
      </c>
      <c r="B179" s="18" t="s">
        <v>1329</v>
      </c>
      <c r="C179" s="18" t="s">
        <v>689</v>
      </c>
      <c r="D179" s="19" t="s">
        <v>735</v>
      </c>
      <c r="E179" s="19" t="s">
        <v>736</v>
      </c>
      <c r="F179" s="20">
        <v>1</v>
      </c>
      <c r="G179" s="20" t="s">
        <v>737</v>
      </c>
      <c r="H179" s="20">
        <v>10</v>
      </c>
      <c r="I179" s="20" t="s">
        <v>738</v>
      </c>
      <c r="J179" s="21" t="b">
        <v>0</v>
      </c>
      <c r="K179" s="21" t="b">
        <v>0</v>
      </c>
      <c r="L179" s="18">
        <f>COUNTIF(C$2:C414,C179)</f>
        <v>1</v>
      </c>
      <c r="M179" s="18" t="s">
        <v>548</v>
      </c>
      <c r="N179" s="18" t="s">
        <v>547</v>
      </c>
      <c r="O179" s="18" t="s">
        <v>12</v>
      </c>
      <c r="P179" s="33" t="s">
        <v>12</v>
      </c>
    </row>
    <row r="180" spans="1:16" ht="16" customHeight="1">
      <c r="A180" s="32" t="s">
        <v>51</v>
      </c>
      <c r="B180" s="18" t="s">
        <v>1329</v>
      </c>
      <c r="C180" s="19" t="s">
        <v>892</v>
      </c>
      <c r="D180" s="19" t="s">
        <v>517</v>
      </c>
      <c r="E180" s="19" t="s">
        <v>517</v>
      </c>
      <c r="F180" s="20">
        <v>7</v>
      </c>
      <c r="G180" s="20" t="s">
        <v>738</v>
      </c>
      <c r="H180" s="20">
        <v>7</v>
      </c>
      <c r="I180" s="20" t="s">
        <v>738</v>
      </c>
      <c r="J180" s="21" t="b">
        <v>0</v>
      </c>
      <c r="K180" s="21" t="b">
        <v>0</v>
      </c>
      <c r="L180" s="18">
        <f>COUNTIF(C$2:C415,C180)</f>
        <v>1</v>
      </c>
      <c r="M180" s="18" t="s">
        <v>547</v>
      </c>
      <c r="N180" s="18" t="s">
        <v>547</v>
      </c>
      <c r="O180" s="18" t="s">
        <v>12</v>
      </c>
      <c r="P180" s="33" t="s">
        <v>12</v>
      </c>
    </row>
    <row r="181" spans="1:16" ht="16" customHeight="1">
      <c r="A181" s="32" t="s">
        <v>97</v>
      </c>
      <c r="B181" s="18" t="s">
        <v>1329</v>
      </c>
      <c r="C181" s="18" t="s">
        <v>918</v>
      </c>
      <c r="D181" s="22" t="s">
        <v>824</v>
      </c>
      <c r="E181" s="19" t="s">
        <v>824</v>
      </c>
      <c r="F181" s="20">
        <v>14</v>
      </c>
      <c r="G181" s="20" t="s">
        <v>738</v>
      </c>
      <c r="H181" s="20">
        <v>14</v>
      </c>
      <c r="I181" s="20" t="s">
        <v>738</v>
      </c>
      <c r="J181" s="21" t="b">
        <v>0</v>
      </c>
      <c r="K181" s="21" t="b">
        <v>0</v>
      </c>
      <c r="L181" s="18">
        <f>COUNTIF(C$2:C416,C181)</f>
        <v>1</v>
      </c>
      <c r="M181" s="18" t="s">
        <v>548</v>
      </c>
      <c r="N181" s="18" t="s">
        <v>547</v>
      </c>
      <c r="O181" s="18" t="s">
        <v>12</v>
      </c>
      <c r="P181" s="33" t="s">
        <v>12</v>
      </c>
    </row>
    <row r="182" spans="1:16" ht="16" customHeight="1">
      <c r="A182" s="34" t="s">
        <v>1</v>
      </c>
      <c r="B182" s="18" t="s">
        <v>1329</v>
      </c>
      <c r="C182" s="19" t="s">
        <v>632</v>
      </c>
      <c r="D182" s="19" t="s">
        <v>633</v>
      </c>
      <c r="E182" s="19" t="s">
        <v>634</v>
      </c>
      <c r="F182" s="20">
        <v>12</v>
      </c>
      <c r="G182" s="20" t="s">
        <v>635</v>
      </c>
      <c r="H182" s="20">
        <v>12</v>
      </c>
      <c r="I182" s="20" t="s">
        <v>636</v>
      </c>
      <c r="J182" s="21" t="b">
        <v>0</v>
      </c>
      <c r="K182" s="21" t="b">
        <v>0</v>
      </c>
      <c r="L182" s="18">
        <f>COUNTIF(C$2:C417,C182)</f>
        <v>1</v>
      </c>
      <c r="M182" s="18" t="s">
        <v>547</v>
      </c>
      <c r="N182" s="18" t="s">
        <v>548</v>
      </c>
      <c r="O182" s="18" t="s">
        <v>13</v>
      </c>
      <c r="P182" s="33" t="s">
        <v>12</v>
      </c>
    </row>
    <row r="183" spans="1:16" ht="16" customHeight="1">
      <c r="A183" s="32" t="s">
        <v>18</v>
      </c>
      <c r="B183" s="18" t="s">
        <v>1329</v>
      </c>
      <c r="C183" s="19" t="s">
        <v>905</v>
      </c>
      <c r="D183" s="19" t="s">
        <v>226</v>
      </c>
      <c r="E183" s="19" t="s">
        <v>906</v>
      </c>
      <c r="F183" s="20">
        <v>10</v>
      </c>
      <c r="G183" s="20" t="s">
        <v>738</v>
      </c>
      <c r="H183" s="20">
        <v>10</v>
      </c>
      <c r="I183" s="20" t="s">
        <v>674</v>
      </c>
      <c r="J183" s="21" t="b">
        <v>0</v>
      </c>
      <c r="K183" s="21" t="b">
        <v>0</v>
      </c>
      <c r="L183" s="18">
        <f>COUNTIF(C$2:C418,C183)</f>
        <v>1</v>
      </c>
      <c r="M183" s="18" t="s">
        <v>547</v>
      </c>
      <c r="N183" s="18" t="s">
        <v>548</v>
      </c>
      <c r="O183" s="18" t="s">
        <v>12</v>
      </c>
      <c r="P183" s="33" t="s">
        <v>12</v>
      </c>
    </row>
    <row r="184" spans="1:16" ht="16" customHeight="1">
      <c r="A184" s="32" t="s">
        <v>45</v>
      </c>
      <c r="B184" s="18" t="s">
        <v>1329</v>
      </c>
      <c r="C184" s="19" t="s">
        <v>927</v>
      </c>
      <c r="D184" s="19" t="s">
        <v>802</v>
      </c>
      <c r="E184" s="19" t="s">
        <v>802</v>
      </c>
      <c r="F184" s="20">
        <v>11</v>
      </c>
      <c r="G184" s="20" t="s">
        <v>969</v>
      </c>
      <c r="H184" s="20">
        <v>11</v>
      </c>
      <c r="I184" s="20" t="s">
        <v>969</v>
      </c>
      <c r="J184" s="21" t="b">
        <v>0</v>
      </c>
      <c r="K184" s="21" t="b">
        <v>0</v>
      </c>
      <c r="L184" s="18">
        <f>COUNTIF(C$2:C419,C184)</f>
        <v>1</v>
      </c>
      <c r="M184" s="18" t="s">
        <v>547</v>
      </c>
      <c r="N184" s="18" t="s">
        <v>548</v>
      </c>
      <c r="O184" s="18" t="s">
        <v>12</v>
      </c>
      <c r="P184" s="33" t="s">
        <v>12</v>
      </c>
    </row>
    <row r="185" spans="1:16" ht="16" customHeight="1">
      <c r="A185" s="34" t="s">
        <v>4</v>
      </c>
      <c r="B185" s="18" t="s">
        <v>1329</v>
      </c>
      <c r="C185" s="19" t="s">
        <v>681</v>
      </c>
      <c r="D185" s="19" t="s">
        <v>139</v>
      </c>
      <c r="E185" s="19" t="s">
        <v>140</v>
      </c>
      <c r="F185" s="20">
        <v>1</v>
      </c>
      <c r="G185" s="20" t="s">
        <v>695</v>
      </c>
      <c r="H185" s="20">
        <v>6</v>
      </c>
      <c r="I185" s="20" t="s">
        <v>1032</v>
      </c>
      <c r="J185" s="21" t="b">
        <v>0</v>
      </c>
      <c r="K185" s="21" t="b">
        <v>0</v>
      </c>
      <c r="L185" s="18">
        <f>COUNTIF(C$2:C420,C185)</f>
        <v>1</v>
      </c>
      <c r="M185" s="18" t="s">
        <v>547</v>
      </c>
      <c r="N185" s="18" t="s">
        <v>548</v>
      </c>
      <c r="O185" s="18" t="s">
        <v>13</v>
      </c>
      <c r="P185" s="33" t="s">
        <v>12</v>
      </c>
    </row>
    <row r="186" spans="1:16" ht="16" customHeight="1">
      <c r="A186" s="32" t="s">
        <v>8</v>
      </c>
      <c r="B186" s="18" t="s">
        <v>1329</v>
      </c>
      <c r="C186" s="18" t="s">
        <v>791</v>
      </c>
      <c r="D186" s="19" t="s">
        <v>119</v>
      </c>
      <c r="E186" s="19" t="s">
        <v>792</v>
      </c>
      <c r="F186" s="20">
        <v>7</v>
      </c>
      <c r="G186" s="20" t="s">
        <v>592</v>
      </c>
      <c r="H186" s="20">
        <v>9</v>
      </c>
      <c r="I186" s="20" t="s">
        <v>793</v>
      </c>
      <c r="J186" s="21" t="b">
        <v>1</v>
      </c>
      <c r="K186" s="21" t="b">
        <v>0</v>
      </c>
      <c r="L186" s="18">
        <f>COUNTIF(C$2:C421,C186)</f>
        <v>1</v>
      </c>
      <c r="M186" s="18" t="s">
        <v>548</v>
      </c>
      <c r="N186" s="18" t="s">
        <v>547</v>
      </c>
      <c r="O186" s="18" t="s">
        <v>12</v>
      </c>
      <c r="P186" s="33" t="s">
        <v>12</v>
      </c>
    </row>
    <row r="187" spans="1:16" ht="16" customHeight="1">
      <c r="A187" s="32" t="s">
        <v>106</v>
      </c>
      <c r="B187" s="18" t="s">
        <v>1329</v>
      </c>
      <c r="C187" s="18" t="s">
        <v>1012</v>
      </c>
      <c r="D187" s="22" t="s">
        <v>835</v>
      </c>
      <c r="E187" s="19" t="s">
        <v>835</v>
      </c>
      <c r="F187" s="20">
        <v>15</v>
      </c>
      <c r="G187" s="20" t="s">
        <v>743</v>
      </c>
      <c r="H187" s="20">
        <v>15</v>
      </c>
      <c r="I187" s="20" t="s">
        <v>743</v>
      </c>
      <c r="J187" s="21" t="b">
        <v>0</v>
      </c>
      <c r="K187" s="21" t="b">
        <v>0</v>
      </c>
      <c r="L187" s="18">
        <f>COUNTIF(C$2:C422,C187)</f>
        <v>1</v>
      </c>
      <c r="M187" s="18" t="s">
        <v>548</v>
      </c>
      <c r="N187" s="18" t="s">
        <v>547</v>
      </c>
      <c r="O187" s="18" t="s">
        <v>12</v>
      </c>
      <c r="P187" s="33" t="s">
        <v>12</v>
      </c>
    </row>
    <row r="188" spans="1:16" ht="16" customHeight="1">
      <c r="A188" s="32" t="s">
        <v>45</v>
      </c>
      <c r="B188" s="18" t="s">
        <v>1329</v>
      </c>
      <c r="C188" s="18" t="s">
        <v>740</v>
      </c>
      <c r="D188" s="19" t="s">
        <v>741</v>
      </c>
      <c r="E188" s="19" t="s">
        <v>742</v>
      </c>
      <c r="F188" s="20">
        <v>3</v>
      </c>
      <c r="G188" s="20" t="s">
        <v>738</v>
      </c>
      <c r="H188" s="20">
        <v>3</v>
      </c>
      <c r="I188" s="20" t="s">
        <v>743</v>
      </c>
      <c r="J188" s="21" t="b">
        <v>0</v>
      </c>
      <c r="K188" s="21" t="b">
        <v>0</v>
      </c>
      <c r="L188" s="18">
        <f>COUNTIF(C$2:C423,C188)</f>
        <v>1</v>
      </c>
      <c r="M188" s="18" t="s">
        <v>548</v>
      </c>
      <c r="N188" s="18" t="s">
        <v>547</v>
      </c>
      <c r="O188" s="18" t="s">
        <v>12</v>
      </c>
      <c r="P188" s="33" t="s">
        <v>12</v>
      </c>
    </row>
    <row r="189" spans="1:16" ht="16" customHeight="1">
      <c r="A189" s="32" t="s">
        <v>87</v>
      </c>
      <c r="B189" s="18" t="s">
        <v>1329</v>
      </c>
      <c r="C189" s="18" t="s">
        <v>908</v>
      </c>
      <c r="D189" s="19" t="s">
        <v>647</v>
      </c>
      <c r="E189" s="19" t="s">
        <v>909</v>
      </c>
      <c r="F189" s="20">
        <v>12</v>
      </c>
      <c r="G189" s="20" t="s">
        <v>649</v>
      </c>
      <c r="H189" s="20">
        <v>12</v>
      </c>
      <c r="I189" s="20" t="s">
        <v>910</v>
      </c>
      <c r="J189" s="21" t="b">
        <v>0</v>
      </c>
      <c r="K189" s="21" t="b">
        <v>0</v>
      </c>
      <c r="L189" s="18">
        <f>COUNTIF(C$2:C424,C189)</f>
        <v>1</v>
      </c>
      <c r="M189" s="18" t="s">
        <v>548</v>
      </c>
      <c r="N189" s="18" t="s">
        <v>547</v>
      </c>
      <c r="O189" s="18" t="s">
        <v>12</v>
      </c>
      <c r="P189" s="33" t="s">
        <v>12</v>
      </c>
    </row>
    <row r="190" spans="1:16" ht="16" customHeight="1">
      <c r="A190" s="32" t="s">
        <v>87</v>
      </c>
      <c r="B190" s="18" t="s">
        <v>1329</v>
      </c>
      <c r="C190" s="18" t="s">
        <v>1001</v>
      </c>
      <c r="D190" s="19" t="s">
        <v>817</v>
      </c>
      <c r="E190" s="19" t="s">
        <v>909</v>
      </c>
      <c r="F190" s="20">
        <v>12</v>
      </c>
      <c r="G190" s="20" t="s">
        <v>996</v>
      </c>
      <c r="H190" s="20">
        <v>12</v>
      </c>
      <c r="I190" s="20" t="s">
        <v>910</v>
      </c>
      <c r="J190" s="21" t="b">
        <v>0</v>
      </c>
      <c r="K190" s="21" t="b">
        <v>0</v>
      </c>
      <c r="L190" s="18">
        <f>COUNTIF(C$2:C425,C190)</f>
        <v>1</v>
      </c>
      <c r="M190" s="18" t="s">
        <v>548</v>
      </c>
      <c r="N190" s="18" t="s">
        <v>547</v>
      </c>
      <c r="O190" s="18" t="s">
        <v>12</v>
      </c>
      <c r="P190" s="33" t="s">
        <v>12</v>
      </c>
    </row>
    <row r="191" spans="1:16" ht="16" customHeight="1">
      <c r="A191" s="32" t="s">
        <v>97</v>
      </c>
      <c r="B191" s="18" t="s">
        <v>1329</v>
      </c>
      <c r="C191" s="18" t="s">
        <v>614</v>
      </c>
      <c r="D191" s="19" t="s">
        <v>560</v>
      </c>
      <c r="E191" s="19" t="s">
        <v>615</v>
      </c>
      <c r="F191" s="20">
        <v>1</v>
      </c>
      <c r="G191" s="20" t="s">
        <v>616</v>
      </c>
      <c r="H191" s="20">
        <v>1</v>
      </c>
      <c r="I191" s="20" t="s">
        <v>616</v>
      </c>
      <c r="J191" s="21" t="b">
        <v>1</v>
      </c>
      <c r="K191" s="21" t="b">
        <v>0</v>
      </c>
      <c r="L191" s="18">
        <f>COUNTIF(C$2:C426,C191)</f>
        <v>1</v>
      </c>
      <c r="M191" s="18" t="s">
        <v>548</v>
      </c>
      <c r="N191" s="18" t="s">
        <v>547</v>
      </c>
      <c r="O191" s="18" t="s">
        <v>12</v>
      </c>
      <c r="P191" s="33" t="s">
        <v>12</v>
      </c>
    </row>
    <row r="192" spans="1:16" ht="16" customHeight="1">
      <c r="A192" s="32" t="s">
        <v>8</v>
      </c>
      <c r="B192" s="18" t="s">
        <v>1329</v>
      </c>
      <c r="C192" s="18" t="s">
        <v>597</v>
      </c>
      <c r="D192" s="19" t="s">
        <v>119</v>
      </c>
      <c r="E192" s="19" t="s">
        <v>696</v>
      </c>
      <c r="F192" s="20">
        <v>7</v>
      </c>
      <c r="G192" s="20" t="s">
        <v>592</v>
      </c>
      <c r="H192" s="20">
        <v>17</v>
      </c>
      <c r="I192" s="20" t="s">
        <v>616</v>
      </c>
      <c r="J192" s="21" t="b">
        <v>1</v>
      </c>
      <c r="K192" s="21" t="b">
        <v>0</v>
      </c>
      <c r="L192" s="18">
        <f>COUNTIF(C$2:C427,C192)</f>
        <v>2</v>
      </c>
      <c r="M192" s="18" t="s">
        <v>548</v>
      </c>
      <c r="N192" s="18" t="s">
        <v>547</v>
      </c>
      <c r="O192" s="18" t="s">
        <v>12</v>
      </c>
      <c r="P192" s="33" t="s">
        <v>12</v>
      </c>
    </row>
    <row r="193" spans="1:16" ht="16" customHeight="1">
      <c r="A193" s="32" t="s">
        <v>9</v>
      </c>
      <c r="B193" s="18" t="s">
        <v>1329</v>
      </c>
      <c r="C193" s="18" t="s">
        <v>597</v>
      </c>
      <c r="D193" s="19" t="s">
        <v>119</v>
      </c>
      <c r="E193" s="19" t="s">
        <v>696</v>
      </c>
      <c r="F193" s="20">
        <v>7</v>
      </c>
      <c r="G193" s="20" t="s">
        <v>592</v>
      </c>
      <c r="H193" s="20">
        <v>17</v>
      </c>
      <c r="I193" s="20" t="s">
        <v>616</v>
      </c>
      <c r="J193" s="21" t="b">
        <v>1</v>
      </c>
      <c r="K193" s="21" t="b">
        <v>0</v>
      </c>
      <c r="L193" s="18">
        <f>COUNTIF(C$2:C428,C193)</f>
        <v>2</v>
      </c>
      <c r="M193" s="18" t="s">
        <v>548</v>
      </c>
      <c r="N193" s="18" t="s">
        <v>547</v>
      </c>
      <c r="O193" s="18" t="s">
        <v>13</v>
      </c>
      <c r="P193" s="33" t="s">
        <v>12</v>
      </c>
    </row>
    <row r="194" spans="1:16" ht="16" customHeight="1">
      <c r="A194" s="32" t="s">
        <v>87</v>
      </c>
      <c r="B194" s="18" t="s">
        <v>1329</v>
      </c>
      <c r="C194" s="18" t="s">
        <v>942</v>
      </c>
      <c r="D194" s="19" t="s">
        <v>296</v>
      </c>
      <c r="E194" s="19" t="s">
        <v>971</v>
      </c>
      <c r="F194" s="20">
        <v>12</v>
      </c>
      <c r="G194" s="20" t="s">
        <v>649</v>
      </c>
      <c r="H194" s="20">
        <v>12</v>
      </c>
      <c r="I194" s="20" t="s">
        <v>616</v>
      </c>
      <c r="J194" s="21" t="b">
        <v>0</v>
      </c>
      <c r="K194" s="21" t="b">
        <v>0</v>
      </c>
      <c r="L194" s="18">
        <f>COUNTIF(C$2:C429,C194)</f>
        <v>1</v>
      </c>
      <c r="M194" s="18" t="s">
        <v>548</v>
      </c>
      <c r="N194" s="18" t="s">
        <v>547</v>
      </c>
      <c r="O194" s="18" t="s">
        <v>12</v>
      </c>
      <c r="P194" s="33" t="s">
        <v>12</v>
      </c>
    </row>
    <row r="195" spans="1:16" ht="16" customHeight="1">
      <c r="A195" s="32" t="s">
        <v>45</v>
      </c>
      <c r="B195" s="18" t="s">
        <v>1329</v>
      </c>
      <c r="C195" s="19" t="s">
        <v>870</v>
      </c>
      <c r="D195" s="19" t="s">
        <v>837</v>
      </c>
      <c r="E195" s="19" t="s">
        <v>837</v>
      </c>
      <c r="F195" s="20">
        <v>16</v>
      </c>
      <c r="G195" s="20" t="s">
        <v>616</v>
      </c>
      <c r="H195" s="20">
        <v>16</v>
      </c>
      <c r="I195" s="20" t="s">
        <v>616</v>
      </c>
      <c r="J195" s="21" t="b">
        <v>0</v>
      </c>
      <c r="K195" s="21" t="b">
        <v>0</v>
      </c>
      <c r="L195" s="18">
        <f>COUNTIF(C$2:C430,C195)</f>
        <v>1</v>
      </c>
      <c r="M195" s="18" t="s">
        <v>547</v>
      </c>
      <c r="N195" s="18" t="s">
        <v>548</v>
      </c>
      <c r="O195" s="18" t="s">
        <v>12</v>
      </c>
      <c r="P195" s="33" t="s">
        <v>12</v>
      </c>
    </row>
    <row r="196" spans="1:16" ht="16" customHeight="1">
      <c r="A196" s="32" t="s">
        <v>87</v>
      </c>
      <c r="B196" s="18" t="s">
        <v>1329</v>
      </c>
      <c r="C196" s="18" t="s">
        <v>607</v>
      </c>
      <c r="D196" s="19" t="s">
        <v>608</v>
      </c>
      <c r="E196" s="19" t="s">
        <v>608</v>
      </c>
      <c r="F196" s="20">
        <v>11</v>
      </c>
      <c r="G196" s="20" t="s">
        <v>609</v>
      </c>
      <c r="H196" s="20">
        <v>11</v>
      </c>
      <c r="I196" s="20" t="s">
        <v>609</v>
      </c>
      <c r="J196" s="21" t="b">
        <v>0</v>
      </c>
      <c r="K196" s="21" t="b">
        <v>0</v>
      </c>
      <c r="L196" s="18">
        <f>COUNTIF(C$2:C431,C196)</f>
        <v>1</v>
      </c>
      <c r="M196" s="18" t="s">
        <v>548</v>
      </c>
      <c r="N196" s="18" t="s">
        <v>547</v>
      </c>
      <c r="O196" s="18" t="s">
        <v>12</v>
      </c>
      <c r="P196" s="33" t="s">
        <v>12</v>
      </c>
    </row>
    <row r="197" spans="1:16" ht="16" customHeight="1">
      <c r="A197" s="32" t="s">
        <v>42</v>
      </c>
      <c r="B197" s="18" t="s">
        <v>1329</v>
      </c>
      <c r="C197" s="18" t="s">
        <v>611</v>
      </c>
      <c r="D197" s="19" t="s">
        <v>233</v>
      </c>
      <c r="E197" s="19" t="s">
        <v>549</v>
      </c>
      <c r="F197" s="20">
        <v>10</v>
      </c>
      <c r="G197" s="20" t="s">
        <v>612</v>
      </c>
      <c r="H197" s="20">
        <v>10</v>
      </c>
      <c r="I197" s="20" t="s">
        <v>612</v>
      </c>
      <c r="J197" s="21" t="b">
        <v>1</v>
      </c>
      <c r="K197" s="21" t="b">
        <v>1</v>
      </c>
      <c r="L197" s="18">
        <f>COUNTIF(C$2:C432,C197)</f>
        <v>1</v>
      </c>
      <c r="M197" s="18" t="s">
        <v>548</v>
      </c>
      <c r="N197" s="18" t="s">
        <v>547</v>
      </c>
      <c r="O197" s="18" t="s">
        <v>12</v>
      </c>
      <c r="P197" s="33" t="s">
        <v>12</v>
      </c>
    </row>
    <row r="198" spans="1:16" ht="16" customHeight="1">
      <c r="A198" s="32" t="s">
        <v>45</v>
      </c>
      <c r="B198" s="18" t="s">
        <v>1329</v>
      </c>
      <c r="C198" s="18" t="s">
        <v>613</v>
      </c>
      <c r="D198" s="19" t="s">
        <v>645</v>
      </c>
      <c r="E198" s="19" t="s">
        <v>645</v>
      </c>
      <c r="F198" s="20">
        <v>14</v>
      </c>
      <c r="G198" s="20" t="s">
        <v>993</v>
      </c>
      <c r="H198" s="20">
        <v>14</v>
      </c>
      <c r="I198" s="20" t="s">
        <v>993</v>
      </c>
      <c r="J198" s="21" t="b">
        <v>0</v>
      </c>
      <c r="K198" s="21" t="b">
        <v>0</v>
      </c>
      <c r="L198" s="18">
        <f>COUNTIF(C$2:C433,C198)</f>
        <v>2</v>
      </c>
      <c r="M198" s="18" t="s">
        <v>548</v>
      </c>
      <c r="N198" s="18" t="s">
        <v>547</v>
      </c>
      <c r="O198" s="18" t="s">
        <v>12</v>
      </c>
      <c r="P198" s="33" t="s">
        <v>12</v>
      </c>
    </row>
    <row r="199" spans="1:16" ht="16" customHeight="1">
      <c r="A199" s="32" t="s">
        <v>106</v>
      </c>
      <c r="B199" s="18" t="s">
        <v>1329</v>
      </c>
      <c r="C199" s="18" t="s">
        <v>613</v>
      </c>
      <c r="D199" s="22" t="s">
        <v>645</v>
      </c>
      <c r="E199" s="19" t="s">
        <v>645</v>
      </c>
      <c r="F199" s="20">
        <v>14</v>
      </c>
      <c r="G199" s="20" t="s">
        <v>993</v>
      </c>
      <c r="H199" s="20">
        <v>14</v>
      </c>
      <c r="I199" s="20" t="s">
        <v>993</v>
      </c>
      <c r="J199" s="21" t="b">
        <v>0</v>
      </c>
      <c r="K199" s="21" t="b">
        <v>0</v>
      </c>
      <c r="L199" s="18">
        <f>COUNTIF(C$2:C434,C199)</f>
        <v>2</v>
      </c>
      <c r="M199" s="18" t="s">
        <v>548</v>
      </c>
      <c r="N199" s="18" t="s">
        <v>547</v>
      </c>
      <c r="O199" s="18" t="s">
        <v>12</v>
      </c>
      <c r="P199" s="33" t="s">
        <v>12</v>
      </c>
    </row>
    <row r="200" spans="1:16" ht="16" customHeight="1">
      <c r="A200" s="32" t="s">
        <v>87</v>
      </c>
      <c r="B200" s="18" t="s">
        <v>1329</v>
      </c>
      <c r="C200" s="18" t="s">
        <v>730</v>
      </c>
      <c r="D200" s="19" t="s">
        <v>731</v>
      </c>
      <c r="E200" s="19" t="s">
        <v>732</v>
      </c>
      <c r="F200" s="20">
        <v>12</v>
      </c>
      <c r="G200" s="20" t="s">
        <v>616</v>
      </c>
      <c r="H200" s="20">
        <v>12</v>
      </c>
      <c r="I200" s="20" t="s">
        <v>733</v>
      </c>
      <c r="J200" s="21" t="b">
        <v>0</v>
      </c>
      <c r="K200" s="21" t="b">
        <v>0</v>
      </c>
      <c r="L200" s="18">
        <f>COUNTIF(C$2:C435,C200)</f>
        <v>1</v>
      </c>
      <c r="M200" s="18" t="s">
        <v>548</v>
      </c>
      <c r="N200" s="18" t="s">
        <v>547</v>
      </c>
      <c r="O200" s="18" t="s">
        <v>12</v>
      </c>
      <c r="P200" s="33" t="s">
        <v>12</v>
      </c>
    </row>
    <row r="201" spans="1:16" ht="16" customHeight="1">
      <c r="A201" s="32" t="s">
        <v>87</v>
      </c>
      <c r="B201" s="18" t="s">
        <v>1329</v>
      </c>
      <c r="C201" s="18" t="s">
        <v>1037</v>
      </c>
      <c r="D201" s="19" t="s">
        <v>647</v>
      </c>
      <c r="E201" s="19" t="s">
        <v>913</v>
      </c>
      <c r="F201" s="20">
        <v>12</v>
      </c>
      <c r="G201" s="20" t="s">
        <v>649</v>
      </c>
      <c r="H201" s="20">
        <v>12</v>
      </c>
      <c r="I201" s="20" t="s">
        <v>914</v>
      </c>
      <c r="J201" s="21" t="b">
        <v>0</v>
      </c>
      <c r="K201" s="21" t="b">
        <v>0</v>
      </c>
      <c r="L201" s="18">
        <f>COUNTIF(C$2:C436,C201)</f>
        <v>1</v>
      </c>
      <c r="M201" s="18" t="s">
        <v>548</v>
      </c>
      <c r="N201" s="18" t="s">
        <v>547</v>
      </c>
      <c r="O201" s="18" t="s">
        <v>12</v>
      </c>
      <c r="P201" s="33" t="s">
        <v>12</v>
      </c>
    </row>
    <row r="202" spans="1:16" ht="16" customHeight="1">
      <c r="A202" s="32" t="s">
        <v>87</v>
      </c>
      <c r="B202" s="18" t="s">
        <v>1329</v>
      </c>
      <c r="C202" s="18" t="s">
        <v>1002</v>
      </c>
      <c r="D202" s="19" t="s">
        <v>817</v>
      </c>
      <c r="E202" s="19" t="s">
        <v>1028</v>
      </c>
      <c r="F202" s="20">
        <v>12</v>
      </c>
      <c r="G202" s="20" t="s">
        <v>996</v>
      </c>
      <c r="H202" s="20">
        <v>12</v>
      </c>
      <c r="I202" s="20" t="s">
        <v>1029</v>
      </c>
      <c r="J202" s="21" t="b">
        <v>0</v>
      </c>
      <c r="K202" s="21" t="b">
        <v>0</v>
      </c>
      <c r="L202" s="18">
        <f>COUNTIF(C$2:C437,C202)</f>
        <v>1</v>
      </c>
      <c r="M202" s="18" t="s">
        <v>548</v>
      </c>
      <c r="N202" s="18" t="s">
        <v>547</v>
      </c>
      <c r="O202" s="18" t="s">
        <v>12</v>
      </c>
      <c r="P202" s="33" t="s">
        <v>12</v>
      </c>
    </row>
    <row r="203" spans="1:16" ht="16" customHeight="1">
      <c r="A203" s="34" t="s">
        <v>10</v>
      </c>
      <c r="B203" s="18" t="s">
        <v>1329</v>
      </c>
      <c r="C203" s="19" t="s">
        <v>879</v>
      </c>
      <c r="D203" s="19" t="s">
        <v>880</v>
      </c>
      <c r="E203" s="19" t="s">
        <v>881</v>
      </c>
      <c r="F203" s="20">
        <v>17</v>
      </c>
      <c r="G203" s="20" t="s">
        <v>882</v>
      </c>
      <c r="H203" s="20">
        <v>17</v>
      </c>
      <c r="I203" s="20" t="s">
        <v>882</v>
      </c>
      <c r="J203" s="21" t="b">
        <v>0</v>
      </c>
      <c r="K203" s="21" t="b">
        <v>0</v>
      </c>
      <c r="L203" s="18">
        <f>COUNTIF(C$2:C438,C203)</f>
        <v>1</v>
      </c>
      <c r="M203" s="18" t="s">
        <v>547</v>
      </c>
      <c r="N203" s="18" t="s">
        <v>547</v>
      </c>
      <c r="O203" s="18" t="s">
        <v>13</v>
      </c>
      <c r="P203" s="33" t="s">
        <v>12</v>
      </c>
    </row>
    <row r="204" spans="1:16" ht="16" customHeight="1">
      <c r="A204" s="32" t="s">
        <v>44</v>
      </c>
      <c r="B204" s="18" t="s">
        <v>1329</v>
      </c>
      <c r="C204" s="18" t="s">
        <v>617</v>
      </c>
      <c r="D204" s="19" t="s">
        <v>651</v>
      </c>
      <c r="E204" s="19" t="s">
        <v>651</v>
      </c>
      <c r="F204" s="20">
        <v>15</v>
      </c>
      <c r="G204" s="20" t="s">
        <v>579</v>
      </c>
      <c r="H204" s="20">
        <v>15</v>
      </c>
      <c r="I204" s="20" t="s">
        <v>579</v>
      </c>
      <c r="J204" s="21" t="b">
        <v>0</v>
      </c>
      <c r="K204" s="21" t="b">
        <v>0</v>
      </c>
      <c r="L204" s="18">
        <f>COUNTIF(C$2:C439,C204)</f>
        <v>2</v>
      </c>
      <c r="M204" s="18" t="s">
        <v>548</v>
      </c>
      <c r="N204" s="18" t="s">
        <v>547</v>
      </c>
      <c r="O204" s="18" t="s">
        <v>12</v>
      </c>
      <c r="P204" s="33" t="s">
        <v>12</v>
      </c>
    </row>
    <row r="205" spans="1:16" ht="16" customHeight="1">
      <c r="A205" s="32" t="s">
        <v>113</v>
      </c>
      <c r="B205" s="18" t="s">
        <v>1329</v>
      </c>
      <c r="C205" s="18" t="s">
        <v>617</v>
      </c>
      <c r="D205" s="22" t="s">
        <v>651</v>
      </c>
      <c r="E205" s="19" t="s">
        <v>651</v>
      </c>
      <c r="F205" s="20">
        <v>15</v>
      </c>
      <c r="G205" s="20" t="s">
        <v>579</v>
      </c>
      <c r="H205" s="20">
        <v>15</v>
      </c>
      <c r="I205" s="20" t="s">
        <v>579</v>
      </c>
      <c r="J205" s="21" t="b">
        <v>0</v>
      </c>
      <c r="K205" s="21" t="b">
        <v>0</v>
      </c>
      <c r="L205" s="18">
        <f>COUNTIF(C$2:C440,C205)</f>
        <v>2</v>
      </c>
      <c r="M205" s="18" t="s">
        <v>548</v>
      </c>
      <c r="N205" s="18" t="s">
        <v>547</v>
      </c>
      <c r="O205" s="18" t="s">
        <v>12</v>
      </c>
      <c r="P205" s="33" t="s">
        <v>12</v>
      </c>
    </row>
    <row r="206" spans="1:16" ht="16" customHeight="1">
      <c r="A206" s="32" t="s">
        <v>18</v>
      </c>
      <c r="B206" s="18" t="s">
        <v>1329</v>
      </c>
      <c r="C206" s="19" t="s">
        <v>919</v>
      </c>
      <c r="D206" s="19" t="s">
        <v>736</v>
      </c>
      <c r="E206" s="19" t="s">
        <v>1024</v>
      </c>
      <c r="F206" s="20">
        <v>10</v>
      </c>
      <c r="G206" s="20" t="s">
        <v>738</v>
      </c>
      <c r="H206" s="20">
        <v>10</v>
      </c>
      <c r="I206" s="20" t="s">
        <v>1025</v>
      </c>
      <c r="J206" s="21" t="b">
        <v>0</v>
      </c>
      <c r="K206" s="21" t="b">
        <v>0</v>
      </c>
      <c r="L206" s="18">
        <f>COUNTIF(C$2:C441,C206)</f>
        <v>1</v>
      </c>
      <c r="M206" s="18" t="s">
        <v>547</v>
      </c>
      <c r="N206" s="18" t="s">
        <v>548</v>
      </c>
      <c r="O206" s="18" t="s">
        <v>12</v>
      </c>
      <c r="P206" s="33" t="s">
        <v>12</v>
      </c>
    </row>
    <row r="207" spans="1:16" ht="16" customHeight="1">
      <c r="A207" s="32" t="s">
        <v>59</v>
      </c>
      <c r="B207" s="18" t="s">
        <v>1329</v>
      </c>
      <c r="C207" s="18" t="s">
        <v>576</v>
      </c>
      <c r="D207" s="19" t="s">
        <v>577</v>
      </c>
      <c r="E207" s="19" t="s">
        <v>578</v>
      </c>
      <c r="F207" s="20">
        <v>15</v>
      </c>
      <c r="G207" s="20" t="s">
        <v>579</v>
      </c>
      <c r="H207" s="20">
        <v>15</v>
      </c>
      <c r="I207" s="20" t="s">
        <v>580</v>
      </c>
      <c r="J207" s="21" t="b">
        <v>0</v>
      </c>
      <c r="K207" s="21" t="b">
        <v>0</v>
      </c>
      <c r="L207" s="18">
        <f>COUNTIF(C$2:C442,C207)</f>
        <v>1</v>
      </c>
      <c r="M207" s="18" t="s">
        <v>548</v>
      </c>
      <c r="N207" s="18" t="s">
        <v>547</v>
      </c>
      <c r="O207" s="18" t="s">
        <v>12</v>
      </c>
      <c r="P207" s="33" t="s">
        <v>12</v>
      </c>
    </row>
    <row r="208" spans="1:16" ht="16" customHeight="1">
      <c r="A208" s="32" t="s">
        <v>7</v>
      </c>
      <c r="B208" s="18" t="s">
        <v>1329</v>
      </c>
      <c r="C208" s="18" t="s">
        <v>702</v>
      </c>
      <c r="D208" s="19" t="s">
        <v>703</v>
      </c>
      <c r="E208" s="19" t="s">
        <v>703</v>
      </c>
      <c r="F208" s="20">
        <v>3</v>
      </c>
      <c r="G208" s="20" t="s">
        <v>704</v>
      </c>
      <c r="H208" s="20">
        <v>3</v>
      </c>
      <c r="I208" s="20" t="s">
        <v>704</v>
      </c>
      <c r="J208" s="21" t="b">
        <v>0</v>
      </c>
      <c r="K208" s="21" t="b">
        <v>0</v>
      </c>
      <c r="L208" s="18">
        <f>COUNTIF(C$2:C443,C208)</f>
        <v>1</v>
      </c>
      <c r="M208" s="18" t="s">
        <v>548</v>
      </c>
      <c r="N208" s="18" t="s">
        <v>547</v>
      </c>
      <c r="O208" s="18" t="s">
        <v>13</v>
      </c>
      <c r="P208" s="33" t="s">
        <v>12</v>
      </c>
    </row>
    <row r="209" spans="1:16" ht="16" customHeight="1">
      <c r="A209" s="32" t="s">
        <v>86</v>
      </c>
      <c r="B209" s="18" t="s">
        <v>1329</v>
      </c>
      <c r="C209" s="19" t="s">
        <v>778</v>
      </c>
      <c r="D209" s="19" t="s">
        <v>777</v>
      </c>
      <c r="E209" s="19" t="s">
        <v>777</v>
      </c>
      <c r="F209" s="20">
        <v>4</v>
      </c>
      <c r="G209" s="20" t="s">
        <v>1020</v>
      </c>
      <c r="H209" s="20">
        <v>4</v>
      </c>
      <c r="I209" s="20" t="s">
        <v>1020</v>
      </c>
      <c r="J209" s="21" t="b">
        <v>0</v>
      </c>
      <c r="K209" s="21" t="b">
        <v>0</v>
      </c>
      <c r="L209" s="18">
        <f>COUNTIF(C$2:C444,C209)</f>
        <v>1</v>
      </c>
      <c r="M209" s="18" t="s">
        <v>547</v>
      </c>
      <c r="N209" s="18" t="s">
        <v>548</v>
      </c>
      <c r="O209" s="18" t="s">
        <v>12</v>
      </c>
      <c r="P209" s="33" t="s">
        <v>12</v>
      </c>
    </row>
    <row r="210" spans="1:16" ht="16" customHeight="1">
      <c r="A210" s="32" t="s">
        <v>44</v>
      </c>
      <c r="B210" s="18" t="s">
        <v>1329</v>
      </c>
      <c r="C210" s="19" t="s">
        <v>825</v>
      </c>
      <c r="D210" s="19" t="s">
        <v>826</v>
      </c>
      <c r="E210" s="19" t="s">
        <v>827</v>
      </c>
      <c r="F210" s="20">
        <v>9</v>
      </c>
      <c r="G210" s="20" t="s">
        <v>828</v>
      </c>
      <c r="H210" s="20">
        <v>9</v>
      </c>
      <c r="I210" s="20" t="s">
        <v>828</v>
      </c>
      <c r="J210" s="21" t="b">
        <v>0</v>
      </c>
      <c r="K210" s="21" t="b">
        <v>0</v>
      </c>
      <c r="L210" s="18">
        <f>COUNTIF(C$2:C445,C210)</f>
        <v>1</v>
      </c>
      <c r="M210" s="18" t="s">
        <v>547</v>
      </c>
      <c r="N210" s="18" t="s">
        <v>547</v>
      </c>
      <c r="O210" s="18" t="s">
        <v>12</v>
      </c>
      <c r="P210" s="33" t="s">
        <v>12</v>
      </c>
    </row>
    <row r="211" spans="1:16" ht="16" customHeight="1">
      <c r="A211" s="32" t="s">
        <v>44</v>
      </c>
      <c r="B211" s="18" t="s">
        <v>1329</v>
      </c>
      <c r="C211" s="18" t="s">
        <v>903</v>
      </c>
      <c r="D211" s="19" t="s">
        <v>539</v>
      </c>
      <c r="E211" s="19" t="s">
        <v>540</v>
      </c>
      <c r="F211" s="20">
        <v>9</v>
      </c>
      <c r="G211" s="20" t="s">
        <v>996</v>
      </c>
      <c r="H211" s="20">
        <v>9</v>
      </c>
      <c r="I211" s="20" t="s">
        <v>828</v>
      </c>
      <c r="J211" s="21" t="b">
        <v>0</v>
      </c>
      <c r="K211" s="21" t="b">
        <v>0</v>
      </c>
      <c r="L211" s="18">
        <f>COUNTIF(C$2:C446,C211)</f>
        <v>2</v>
      </c>
      <c r="M211" s="18" t="s">
        <v>548</v>
      </c>
      <c r="N211" s="18" t="s">
        <v>547</v>
      </c>
      <c r="O211" s="18" t="s">
        <v>12</v>
      </c>
      <c r="P211" s="33" t="s">
        <v>12</v>
      </c>
    </row>
    <row r="212" spans="1:16" ht="16" customHeight="1">
      <c r="A212" s="32" t="s">
        <v>28</v>
      </c>
      <c r="B212" s="18" t="s">
        <v>1329</v>
      </c>
      <c r="C212" s="18" t="s">
        <v>700</v>
      </c>
      <c r="D212" s="19" t="s">
        <v>873</v>
      </c>
      <c r="E212" s="19" t="s">
        <v>559</v>
      </c>
      <c r="F212" s="20">
        <v>1</v>
      </c>
      <c r="G212" s="20" t="s">
        <v>584</v>
      </c>
      <c r="H212" s="20">
        <v>1</v>
      </c>
      <c r="I212" s="20" t="s">
        <v>584</v>
      </c>
      <c r="J212" s="21" t="b">
        <v>0</v>
      </c>
      <c r="K212" s="21" t="b">
        <v>1</v>
      </c>
      <c r="L212" s="18">
        <f>COUNTIF(C$2:C447,C212)</f>
        <v>1</v>
      </c>
      <c r="M212" s="18" t="s">
        <v>548</v>
      </c>
      <c r="N212" s="18" t="s">
        <v>547</v>
      </c>
      <c r="O212" s="18" t="s">
        <v>12</v>
      </c>
      <c r="P212" s="33" t="s">
        <v>12</v>
      </c>
    </row>
    <row r="213" spans="1:16" ht="16" customHeight="1">
      <c r="A213" s="32" t="s">
        <v>118</v>
      </c>
      <c r="B213" s="18" t="s">
        <v>1329</v>
      </c>
      <c r="C213" s="19" t="s">
        <v>693</v>
      </c>
      <c r="D213" s="19" t="s">
        <v>869</v>
      </c>
      <c r="E213" s="19" t="s">
        <v>179</v>
      </c>
      <c r="F213" s="20">
        <v>1</v>
      </c>
      <c r="G213" s="20" t="s">
        <v>910</v>
      </c>
      <c r="H213" s="20">
        <v>1</v>
      </c>
      <c r="I213" s="20" t="s">
        <v>584</v>
      </c>
      <c r="J213" s="21" t="b">
        <v>0</v>
      </c>
      <c r="K213" s="21" t="b">
        <v>1</v>
      </c>
      <c r="L213" s="18">
        <f>COUNTIF(C$2:C448,C213)</f>
        <v>1</v>
      </c>
      <c r="M213" s="18" t="s">
        <v>547</v>
      </c>
      <c r="N213" s="18" t="s">
        <v>547</v>
      </c>
      <c r="O213" s="18" t="s">
        <v>12</v>
      </c>
      <c r="P213" s="33" t="s">
        <v>12</v>
      </c>
    </row>
    <row r="214" spans="1:16" ht="16" customHeight="1">
      <c r="A214" s="32" t="s">
        <v>99</v>
      </c>
      <c r="B214" s="18" t="s">
        <v>1329</v>
      </c>
      <c r="C214" s="19" t="s">
        <v>839</v>
      </c>
      <c r="D214" s="19" t="s">
        <v>546</v>
      </c>
      <c r="E214" s="19" t="s">
        <v>1004</v>
      </c>
      <c r="F214" s="20">
        <v>7</v>
      </c>
      <c r="G214" s="20" t="s">
        <v>592</v>
      </c>
      <c r="H214" s="20">
        <v>7</v>
      </c>
      <c r="I214" s="20" t="s">
        <v>584</v>
      </c>
      <c r="J214" s="21" t="b">
        <v>0</v>
      </c>
      <c r="K214" s="21" t="b">
        <v>0</v>
      </c>
      <c r="L214" s="18">
        <f>COUNTIF(C$2:C449,C214)</f>
        <v>1</v>
      </c>
      <c r="M214" s="18" t="s">
        <v>547</v>
      </c>
      <c r="N214" s="18" t="s">
        <v>547</v>
      </c>
      <c r="O214" s="18" t="s">
        <v>12</v>
      </c>
      <c r="P214" s="33" t="s">
        <v>12</v>
      </c>
    </row>
    <row r="215" spans="1:16" ht="16" customHeight="1">
      <c r="A215" s="32" t="s">
        <v>42</v>
      </c>
      <c r="B215" s="18" t="s">
        <v>1329</v>
      </c>
      <c r="C215" s="18" t="s">
        <v>894</v>
      </c>
      <c r="D215" s="19" t="s">
        <v>789</v>
      </c>
      <c r="E215" s="19" t="s">
        <v>789</v>
      </c>
      <c r="F215" s="20">
        <v>7</v>
      </c>
      <c r="G215" s="20" t="s">
        <v>584</v>
      </c>
      <c r="H215" s="20">
        <v>7</v>
      </c>
      <c r="I215" s="20" t="s">
        <v>584</v>
      </c>
      <c r="J215" s="21" t="b">
        <v>0</v>
      </c>
      <c r="K215" s="21" t="b">
        <v>0</v>
      </c>
      <c r="L215" s="18">
        <f>COUNTIF(C$2:C450,C215)</f>
        <v>1</v>
      </c>
      <c r="M215" s="18" t="s">
        <v>548</v>
      </c>
      <c r="N215" s="18" t="s">
        <v>547</v>
      </c>
      <c r="O215" s="18" t="s">
        <v>12</v>
      </c>
      <c r="P215" s="33" t="s">
        <v>12</v>
      </c>
    </row>
    <row r="216" spans="1:16" ht="16" customHeight="1">
      <c r="A216" s="32" t="s">
        <v>89</v>
      </c>
      <c r="B216" s="18" t="s">
        <v>1329</v>
      </c>
      <c r="C216" s="19" t="s">
        <v>1005</v>
      </c>
      <c r="D216" s="19" t="s">
        <v>823</v>
      </c>
      <c r="E216" s="19" t="s">
        <v>823</v>
      </c>
      <c r="F216" s="20">
        <v>13</v>
      </c>
      <c r="G216" s="20" t="s">
        <v>584</v>
      </c>
      <c r="H216" s="20">
        <v>13</v>
      </c>
      <c r="I216" s="20" t="s">
        <v>584</v>
      </c>
      <c r="J216" s="21" t="b">
        <v>0</v>
      </c>
      <c r="K216" s="21" t="b">
        <v>0</v>
      </c>
      <c r="L216" s="18">
        <f>COUNTIF(C$2:C451,C216)</f>
        <v>1</v>
      </c>
      <c r="M216" s="18" t="s">
        <v>547</v>
      </c>
      <c r="N216" s="18" t="s">
        <v>548</v>
      </c>
      <c r="O216" s="18" t="s">
        <v>12</v>
      </c>
      <c r="P216" s="33" t="s">
        <v>12</v>
      </c>
    </row>
    <row r="217" spans="1:16" ht="16" customHeight="1">
      <c r="A217" s="32" t="s">
        <v>59</v>
      </c>
      <c r="B217" s="18" t="s">
        <v>1329</v>
      </c>
      <c r="C217" s="18" t="s">
        <v>691</v>
      </c>
      <c r="D217" s="19" t="s">
        <v>867</v>
      </c>
      <c r="E217" s="19" t="s">
        <v>995</v>
      </c>
      <c r="F217" s="20">
        <v>1</v>
      </c>
      <c r="G217" s="20" t="s">
        <v>1018</v>
      </c>
      <c r="H217" s="20">
        <v>14</v>
      </c>
      <c r="I217" s="20" t="s">
        <v>1019</v>
      </c>
      <c r="J217" s="21" t="b">
        <v>0</v>
      </c>
      <c r="K217" s="21" t="b">
        <v>0</v>
      </c>
      <c r="L217" s="18">
        <f>COUNTIF(C$2:C452,C217)</f>
        <v>1</v>
      </c>
      <c r="M217" s="18" t="s">
        <v>548</v>
      </c>
      <c r="N217" s="18" t="s">
        <v>547</v>
      </c>
      <c r="O217" s="18" t="s">
        <v>12</v>
      </c>
      <c r="P217" s="33" t="s">
        <v>12</v>
      </c>
    </row>
    <row r="218" spans="1:16" ht="16" customHeight="1">
      <c r="A218" s="34" t="s">
        <v>1</v>
      </c>
      <c r="B218" s="18" t="s">
        <v>1329</v>
      </c>
      <c r="C218" s="19" t="s">
        <v>705</v>
      </c>
      <c r="D218" s="19" t="s">
        <v>131</v>
      </c>
      <c r="E218" s="19" t="s">
        <v>132</v>
      </c>
      <c r="F218" s="20">
        <v>1</v>
      </c>
      <c r="G218" s="20" t="s">
        <v>807</v>
      </c>
      <c r="H218" s="20">
        <v>1</v>
      </c>
      <c r="I218" s="20" t="s">
        <v>807</v>
      </c>
      <c r="J218" s="21" t="b">
        <v>0</v>
      </c>
      <c r="K218" s="21" t="b">
        <v>0</v>
      </c>
      <c r="L218" s="18">
        <f>COUNTIF(C$2:C453,C218)</f>
        <v>1</v>
      </c>
      <c r="M218" s="18" t="s">
        <v>547</v>
      </c>
      <c r="N218" s="18" t="s">
        <v>548</v>
      </c>
      <c r="O218" s="18" t="s">
        <v>13</v>
      </c>
      <c r="P218" s="33" t="s">
        <v>12</v>
      </c>
    </row>
    <row r="219" spans="1:16" ht="16" customHeight="1">
      <c r="A219" s="32" t="s">
        <v>99</v>
      </c>
      <c r="B219" s="18" t="s">
        <v>1329</v>
      </c>
      <c r="C219" s="18" t="s">
        <v>744</v>
      </c>
      <c r="D219" s="19" t="s">
        <v>804</v>
      </c>
      <c r="E219" s="19" t="s">
        <v>805</v>
      </c>
      <c r="F219" s="20">
        <v>2</v>
      </c>
      <c r="G219" s="20" t="s">
        <v>806</v>
      </c>
      <c r="H219" s="20">
        <v>7</v>
      </c>
      <c r="I219" s="20" t="s">
        <v>807</v>
      </c>
      <c r="J219" s="21" t="b">
        <v>0</v>
      </c>
      <c r="K219" s="21" t="b">
        <v>0</v>
      </c>
      <c r="L219" s="18">
        <f>COUNTIF(C$2:C454,C219)</f>
        <v>1</v>
      </c>
      <c r="M219" s="18" t="s">
        <v>548</v>
      </c>
      <c r="N219" s="18" t="s">
        <v>547</v>
      </c>
      <c r="O219" s="18" t="s">
        <v>12</v>
      </c>
      <c r="P219" s="33" t="s">
        <v>12</v>
      </c>
    </row>
    <row r="220" spans="1:16" ht="16" customHeight="1">
      <c r="A220" s="32" t="s">
        <v>99</v>
      </c>
      <c r="B220" s="18" t="s">
        <v>1329</v>
      </c>
      <c r="C220" s="18" t="s">
        <v>758</v>
      </c>
      <c r="D220" s="19" t="s">
        <v>898</v>
      </c>
      <c r="E220" s="19" t="s">
        <v>1006</v>
      </c>
      <c r="F220" s="20">
        <v>3</v>
      </c>
      <c r="G220" s="20" t="s">
        <v>717</v>
      </c>
      <c r="H220" s="20">
        <v>7</v>
      </c>
      <c r="I220" s="20" t="s">
        <v>807</v>
      </c>
      <c r="J220" s="21" t="b">
        <v>0</v>
      </c>
      <c r="K220" s="21" t="b">
        <v>0</v>
      </c>
      <c r="L220" s="18">
        <f>COUNTIF(C$2:C455,C220)</f>
        <v>1</v>
      </c>
      <c r="M220" s="18" t="s">
        <v>548</v>
      </c>
      <c r="N220" s="18" t="s">
        <v>547</v>
      </c>
      <c r="O220" s="18" t="s">
        <v>12</v>
      </c>
      <c r="P220" s="33" t="s">
        <v>12</v>
      </c>
    </row>
    <row r="221" spans="1:16" ht="16" customHeight="1">
      <c r="A221" s="32" t="s">
        <v>97</v>
      </c>
      <c r="B221" s="18" t="s">
        <v>1329</v>
      </c>
      <c r="C221" s="18" t="s">
        <v>714</v>
      </c>
      <c r="D221" s="22" t="s">
        <v>877</v>
      </c>
      <c r="E221" s="19" t="s">
        <v>208</v>
      </c>
      <c r="F221" s="20">
        <v>1</v>
      </c>
      <c r="G221" s="20" t="s">
        <v>585</v>
      </c>
      <c r="H221" s="20">
        <v>1</v>
      </c>
      <c r="I221" s="20" t="s">
        <v>585</v>
      </c>
      <c r="J221" s="21" t="b">
        <v>0</v>
      </c>
      <c r="K221" s="21" t="b">
        <v>0</v>
      </c>
      <c r="L221" s="18">
        <f>COUNTIF(C$2:C456,C221)</f>
        <v>1</v>
      </c>
      <c r="M221" s="18" t="s">
        <v>548</v>
      </c>
      <c r="N221" s="18" t="s">
        <v>547</v>
      </c>
      <c r="O221" s="18" t="s">
        <v>12</v>
      </c>
      <c r="P221" s="33" t="s">
        <v>12</v>
      </c>
    </row>
    <row r="222" spans="1:16" ht="16" customHeight="1">
      <c r="A222" s="32" t="s">
        <v>99</v>
      </c>
      <c r="B222" s="18" t="s">
        <v>1329</v>
      </c>
      <c r="C222" s="19" t="s">
        <v>581</v>
      </c>
      <c r="D222" s="19" t="s">
        <v>582</v>
      </c>
      <c r="E222" s="19" t="s">
        <v>583</v>
      </c>
      <c r="F222" s="20">
        <v>7</v>
      </c>
      <c r="G222" s="20" t="s">
        <v>584</v>
      </c>
      <c r="H222" s="20">
        <v>7</v>
      </c>
      <c r="I222" s="20" t="s">
        <v>585</v>
      </c>
      <c r="J222" s="21" t="b">
        <v>0</v>
      </c>
      <c r="K222" s="21" t="b">
        <v>0</v>
      </c>
      <c r="L222" s="18">
        <f>COUNTIF(C$2:C457,C222)</f>
        <v>1</v>
      </c>
      <c r="M222" s="18" t="s">
        <v>547</v>
      </c>
      <c r="N222" s="18" t="s">
        <v>548</v>
      </c>
      <c r="O222" s="18" t="s">
        <v>12</v>
      </c>
      <c r="P222" s="33" t="s">
        <v>12</v>
      </c>
    </row>
    <row r="223" spans="1:16" ht="16" customHeight="1">
      <c r="A223" s="32" t="s">
        <v>99</v>
      </c>
      <c r="B223" s="18" t="s">
        <v>1329</v>
      </c>
      <c r="C223" s="18" t="s">
        <v>868</v>
      </c>
      <c r="D223" s="19" t="s">
        <v>933</v>
      </c>
      <c r="E223" s="19" t="s">
        <v>583</v>
      </c>
      <c r="F223" s="20">
        <v>7</v>
      </c>
      <c r="G223" s="20" t="s">
        <v>642</v>
      </c>
      <c r="H223" s="20">
        <v>7</v>
      </c>
      <c r="I223" s="20" t="s">
        <v>585</v>
      </c>
      <c r="J223" s="21" t="b">
        <v>0</v>
      </c>
      <c r="K223" s="21" t="b">
        <v>0</v>
      </c>
      <c r="L223" s="18">
        <f>COUNTIF(C$2:C458,C223)</f>
        <v>1</v>
      </c>
      <c r="M223" s="18" t="s">
        <v>548</v>
      </c>
      <c r="N223" s="18" t="s">
        <v>547</v>
      </c>
      <c r="O223" s="18" t="s">
        <v>12</v>
      </c>
      <c r="P223" s="33" t="s">
        <v>12</v>
      </c>
    </row>
    <row r="224" spans="1:16" ht="16" customHeight="1">
      <c r="A224" s="32" t="s">
        <v>42</v>
      </c>
      <c r="B224" s="18" t="s">
        <v>1329</v>
      </c>
      <c r="C224" s="18" t="s">
        <v>682</v>
      </c>
      <c r="D224" s="19" t="s">
        <v>683</v>
      </c>
      <c r="E224" s="19" t="s">
        <v>683</v>
      </c>
      <c r="F224" s="20">
        <v>7</v>
      </c>
      <c r="G224" s="20" t="s">
        <v>684</v>
      </c>
      <c r="H224" s="20">
        <v>7</v>
      </c>
      <c r="I224" s="20" t="s">
        <v>684</v>
      </c>
      <c r="J224" s="21" t="b">
        <v>0</v>
      </c>
      <c r="K224" s="21" t="b">
        <v>0</v>
      </c>
      <c r="L224" s="18">
        <f>COUNTIF(C$2:C459,C224)</f>
        <v>1</v>
      </c>
      <c r="M224" s="18" t="s">
        <v>548</v>
      </c>
      <c r="N224" s="18" t="s">
        <v>547</v>
      </c>
      <c r="O224" s="18" t="s">
        <v>12</v>
      </c>
      <c r="P224" s="33" t="s">
        <v>12</v>
      </c>
    </row>
    <row r="225" spans="1:16" ht="16" customHeight="1">
      <c r="A225" s="32" t="s">
        <v>118</v>
      </c>
      <c r="B225" s="18" t="s">
        <v>1329</v>
      </c>
      <c r="C225" s="18" t="s">
        <v>782</v>
      </c>
      <c r="D225" s="19" t="s">
        <v>779</v>
      </c>
      <c r="E225" s="19" t="s">
        <v>779</v>
      </c>
      <c r="F225" s="20">
        <v>4</v>
      </c>
      <c r="G225" s="20" t="s">
        <v>866</v>
      </c>
      <c r="H225" s="20">
        <v>4</v>
      </c>
      <c r="I225" s="20" t="s">
        <v>866</v>
      </c>
      <c r="J225" s="21" t="b">
        <v>0</v>
      </c>
      <c r="K225" s="21" t="b">
        <v>0</v>
      </c>
      <c r="L225" s="18">
        <f>COUNTIF(C$2:C460,C225)</f>
        <v>1</v>
      </c>
      <c r="M225" s="18" t="s">
        <v>548</v>
      </c>
      <c r="N225" s="18" t="s">
        <v>547</v>
      </c>
      <c r="O225" s="18" t="s">
        <v>12</v>
      </c>
      <c r="P225" s="33" t="s">
        <v>12</v>
      </c>
    </row>
    <row r="226" spans="1:16" ht="16" customHeight="1">
      <c r="A226" s="32" t="s">
        <v>42</v>
      </c>
      <c r="B226" s="18" t="s">
        <v>1329</v>
      </c>
      <c r="C226" s="19" t="s">
        <v>915</v>
      </c>
      <c r="D226" s="19" t="s">
        <v>795</v>
      </c>
      <c r="E226" s="19" t="s">
        <v>795</v>
      </c>
      <c r="F226" s="20">
        <v>9</v>
      </c>
      <c r="G226" s="20" t="s">
        <v>998</v>
      </c>
      <c r="H226" s="20">
        <v>9</v>
      </c>
      <c r="I226" s="20" t="s">
        <v>998</v>
      </c>
      <c r="J226" s="21" t="b">
        <v>0</v>
      </c>
      <c r="K226" s="21" t="b">
        <v>0</v>
      </c>
      <c r="L226" s="18">
        <f>COUNTIF(C$2:C461,C226)</f>
        <v>1</v>
      </c>
      <c r="M226" s="18" t="s">
        <v>547</v>
      </c>
      <c r="N226" s="18" t="s">
        <v>548</v>
      </c>
      <c r="O226" s="18" t="s">
        <v>12</v>
      </c>
      <c r="P226" s="33" t="s">
        <v>12</v>
      </c>
    </row>
    <row r="227" spans="1:16" ht="16" customHeight="1">
      <c r="A227" s="32" t="s">
        <v>62</v>
      </c>
      <c r="B227" s="18" t="s">
        <v>1329</v>
      </c>
      <c r="C227" s="18" t="s">
        <v>765</v>
      </c>
      <c r="D227" s="19" t="s">
        <v>859</v>
      </c>
      <c r="E227" s="19" t="s">
        <v>860</v>
      </c>
      <c r="F227" s="20">
        <v>3</v>
      </c>
      <c r="G227" s="20" t="s">
        <v>861</v>
      </c>
      <c r="H227" s="20">
        <v>9</v>
      </c>
      <c r="I227" s="20" t="s">
        <v>862</v>
      </c>
      <c r="J227" s="21" t="b">
        <v>0</v>
      </c>
      <c r="K227" s="21" t="b">
        <v>0</v>
      </c>
      <c r="L227" s="18">
        <f>COUNTIF(C$2:C462,C227)</f>
        <v>1</v>
      </c>
      <c r="M227" s="18" t="s">
        <v>548</v>
      </c>
      <c r="N227" s="18" t="s">
        <v>547</v>
      </c>
      <c r="O227" s="18" t="s">
        <v>12</v>
      </c>
      <c r="P227" s="33" t="s">
        <v>12</v>
      </c>
    </row>
    <row r="228" spans="1:16" ht="16" customHeight="1">
      <c r="A228" s="32" t="s">
        <v>99</v>
      </c>
      <c r="B228" s="18" t="s">
        <v>1329</v>
      </c>
      <c r="C228" s="19" t="s">
        <v>749</v>
      </c>
      <c r="D228" s="19" t="s">
        <v>750</v>
      </c>
      <c r="E228" s="19" t="s">
        <v>557</v>
      </c>
      <c r="F228" s="20">
        <v>7</v>
      </c>
      <c r="G228" s="20" t="s">
        <v>751</v>
      </c>
      <c r="H228" s="20">
        <v>7</v>
      </c>
      <c r="I228" s="20" t="s">
        <v>752</v>
      </c>
      <c r="J228" s="21" t="b">
        <v>0</v>
      </c>
      <c r="K228" s="21" t="b">
        <v>1</v>
      </c>
      <c r="L228" s="18">
        <f>COUNTIF(C$2:C463,C228)</f>
        <v>1</v>
      </c>
      <c r="M228" s="18" t="s">
        <v>547</v>
      </c>
      <c r="N228" s="18" t="s">
        <v>547</v>
      </c>
      <c r="O228" s="18" t="s">
        <v>12</v>
      </c>
      <c r="P228" s="33" t="s">
        <v>12</v>
      </c>
    </row>
    <row r="229" spans="1:16" ht="16" customHeight="1">
      <c r="A229" s="32" t="s">
        <v>99</v>
      </c>
      <c r="B229" s="18" t="s">
        <v>1329</v>
      </c>
      <c r="C229" s="19" t="s">
        <v>878</v>
      </c>
      <c r="D229" s="19" t="s">
        <v>527</v>
      </c>
      <c r="E229" s="19" t="s">
        <v>902</v>
      </c>
      <c r="F229" s="20">
        <v>7</v>
      </c>
      <c r="G229" s="20" t="s">
        <v>751</v>
      </c>
      <c r="H229" s="20">
        <v>7</v>
      </c>
      <c r="I229" s="20" t="s">
        <v>752</v>
      </c>
      <c r="J229" s="21" t="b">
        <v>0</v>
      </c>
      <c r="K229" s="21" t="b">
        <v>0</v>
      </c>
      <c r="L229" s="18">
        <f>COUNTIF(C$2:C464,C229)</f>
        <v>1</v>
      </c>
      <c r="M229" s="18" t="s">
        <v>547</v>
      </c>
      <c r="N229" s="18" t="s">
        <v>548</v>
      </c>
      <c r="O229" s="18" t="s">
        <v>12</v>
      </c>
      <c r="P229" s="33" t="s">
        <v>12</v>
      </c>
    </row>
    <row r="230" spans="1:16" ht="16" customHeight="1">
      <c r="A230" s="34" t="s">
        <v>1</v>
      </c>
      <c r="B230" s="18" t="s">
        <v>1329</v>
      </c>
      <c r="C230" s="19" t="s">
        <v>709</v>
      </c>
      <c r="D230" s="19" t="s">
        <v>132</v>
      </c>
      <c r="E230" s="19" t="s">
        <v>133</v>
      </c>
      <c r="F230" s="20">
        <v>1</v>
      </c>
      <c r="G230" s="20" t="s">
        <v>807</v>
      </c>
      <c r="H230" s="20">
        <v>1</v>
      </c>
      <c r="I230" s="20" t="s">
        <v>833</v>
      </c>
      <c r="J230" s="21" t="b">
        <v>0</v>
      </c>
      <c r="K230" s="21" t="b">
        <v>0</v>
      </c>
      <c r="L230" s="18">
        <f>COUNTIF(C$2:C465,C230)</f>
        <v>1</v>
      </c>
      <c r="M230" s="18" t="s">
        <v>547</v>
      </c>
      <c r="N230" s="18" t="s">
        <v>548</v>
      </c>
      <c r="O230" s="18" t="s">
        <v>13</v>
      </c>
      <c r="P230" s="33" t="s">
        <v>12</v>
      </c>
    </row>
    <row r="231" spans="1:16" ht="16" customHeight="1">
      <c r="A231" s="32" t="s">
        <v>97</v>
      </c>
      <c r="B231" s="18" t="s">
        <v>1329</v>
      </c>
      <c r="C231" s="18" t="s">
        <v>711</v>
      </c>
      <c r="D231" s="22" t="s">
        <v>852</v>
      </c>
      <c r="E231" s="19" t="s">
        <v>209</v>
      </c>
      <c r="F231" s="20">
        <v>1</v>
      </c>
      <c r="G231" s="20" t="s">
        <v>585</v>
      </c>
      <c r="H231" s="20">
        <v>1</v>
      </c>
      <c r="I231" s="20" t="s">
        <v>853</v>
      </c>
      <c r="J231" s="21" t="b">
        <v>0</v>
      </c>
      <c r="K231" s="21" t="b">
        <v>0</v>
      </c>
      <c r="L231" s="18">
        <f>COUNTIF(C$2:C466,C231)</f>
        <v>1</v>
      </c>
      <c r="M231" s="18" t="s">
        <v>548</v>
      </c>
      <c r="N231" s="18" t="s">
        <v>547</v>
      </c>
      <c r="O231" s="18" t="s">
        <v>12</v>
      </c>
      <c r="P231" s="33" t="s">
        <v>12</v>
      </c>
    </row>
    <row r="232" spans="1:16" ht="16" customHeight="1">
      <c r="A232" s="32" t="s">
        <v>97</v>
      </c>
      <c r="B232" s="18" t="s">
        <v>1329</v>
      </c>
      <c r="C232" s="18" t="s">
        <v>734</v>
      </c>
      <c r="D232" s="22" t="s">
        <v>888</v>
      </c>
      <c r="E232" s="19" t="s">
        <v>956</v>
      </c>
      <c r="F232" s="20">
        <v>1</v>
      </c>
      <c r="G232" s="20" t="s">
        <v>957</v>
      </c>
      <c r="H232" s="20">
        <v>1</v>
      </c>
      <c r="I232" s="20" t="s">
        <v>957</v>
      </c>
      <c r="J232" s="21" t="b">
        <v>0</v>
      </c>
      <c r="K232" s="21" t="b">
        <v>0</v>
      </c>
      <c r="L232" s="18">
        <f>COUNTIF(C$2:C467,C232)</f>
        <v>1</v>
      </c>
      <c r="M232" s="18" t="s">
        <v>548</v>
      </c>
      <c r="N232" s="18" t="s">
        <v>547</v>
      </c>
      <c r="O232" s="18" t="s">
        <v>12</v>
      </c>
      <c r="P232" s="33" t="s">
        <v>12</v>
      </c>
    </row>
    <row r="233" spans="1:16" ht="16" customHeight="1">
      <c r="A233" s="32" t="s">
        <v>97</v>
      </c>
      <c r="B233" s="18" t="s">
        <v>1329</v>
      </c>
      <c r="C233" s="18" t="s">
        <v>718</v>
      </c>
      <c r="D233" s="22" t="s">
        <v>208</v>
      </c>
      <c r="E233" s="19" t="s">
        <v>997</v>
      </c>
      <c r="F233" s="20">
        <v>1</v>
      </c>
      <c r="G233" s="20" t="s">
        <v>585</v>
      </c>
      <c r="H233" s="20">
        <v>1</v>
      </c>
      <c r="I233" s="20" t="s">
        <v>957</v>
      </c>
      <c r="J233" s="21" t="b">
        <v>0</v>
      </c>
      <c r="K233" s="21" t="b">
        <v>0</v>
      </c>
      <c r="L233" s="18">
        <f>COUNTIF(C$2:C468,C233)</f>
        <v>1</v>
      </c>
      <c r="M233" s="18" t="s">
        <v>548</v>
      </c>
      <c r="N233" s="18" t="s">
        <v>547</v>
      </c>
      <c r="O233" s="18" t="s">
        <v>12</v>
      </c>
      <c r="P233" s="33" t="s">
        <v>12</v>
      </c>
    </row>
    <row r="234" spans="1:16" ht="16" customHeight="1">
      <c r="A234" s="32" t="s">
        <v>97</v>
      </c>
      <c r="B234" s="18" t="s">
        <v>1329</v>
      </c>
      <c r="C234" s="18" t="s">
        <v>729</v>
      </c>
      <c r="D234" s="19" t="s">
        <v>884</v>
      </c>
      <c r="E234" s="19" t="s">
        <v>956</v>
      </c>
      <c r="F234" s="20">
        <v>1</v>
      </c>
      <c r="G234" s="20" t="s">
        <v>833</v>
      </c>
      <c r="H234" s="20">
        <v>1</v>
      </c>
      <c r="I234" s="20" t="s">
        <v>957</v>
      </c>
      <c r="J234" s="21" t="b">
        <v>0</v>
      </c>
      <c r="K234" s="21" t="b">
        <v>0</v>
      </c>
      <c r="L234" s="18">
        <f>COUNTIF(C$2:C469,C234)</f>
        <v>1</v>
      </c>
      <c r="M234" s="18" t="s">
        <v>548</v>
      </c>
      <c r="N234" s="18" t="s">
        <v>547</v>
      </c>
      <c r="O234" s="18" t="s">
        <v>12</v>
      </c>
      <c r="P234" s="33" t="s">
        <v>12</v>
      </c>
    </row>
    <row r="235" spans="1:16" ht="16" customHeight="1">
      <c r="A235" s="32" t="s">
        <v>19</v>
      </c>
      <c r="B235" s="18" t="s">
        <v>1329</v>
      </c>
      <c r="C235" s="19" t="s">
        <v>587</v>
      </c>
      <c r="D235" s="19" t="s">
        <v>196</v>
      </c>
      <c r="E235" s="19" t="s">
        <v>196</v>
      </c>
      <c r="F235" s="20">
        <v>1</v>
      </c>
      <c r="G235" s="20" t="s">
        <v>588</v>
      </c>
      <c r="H235" s="20">
        <v>1</v>
      </c>
      <c r="I235" s="20" t="s">
        <v>588</v>
      </c>
      <c r="J235" s="21" t="b">
        <v>0</v>
      </c>
      <c r="K235" s="21" t="b">
        <v>0</v>
      </c>
      <c r="L235" s="18">
        <f>COUNTIF(C$2:C470,C235)</f>
        <v>1</v>
      </c>
      <c r="M235" s="18" t="s">
        <v>547</v>
      </c>
      <c r="N235" s="18" t="s">
        <v>548</v>
      </c>
      <c r="O235" s="18" t="s">
        <v>12</v>
      </c>
      <c r="P235" s="33" t="s">
        <v>12</v>
      </c>
    </row>
    <row r="236" spans="1:16" ht="16" customHeight="1">
      <c r="A236" s="32" t="s">
        <v>97</v>
      </c>
      <c r="B236" s="18" t="s">
        <v>1329</v>
      </c>
      <c r="C236" s="18" t="s">
        <v>724</v>
      </c>
      <c r="D236" s="22" t="s">
        <v>831</v>
      </c>
      <c r="E236" s="19" t="s">
        <v>832</v>
      </c>
      <c r="F236" s="20">
        <v>1</v>
      </c>
      <c r="G236" s="20" t="s">
        <v>833</v>
      </c>
      <c r="H236" s="20">
        <v>1</v>
      </c>
      <c r="I236" s="20" t="s">
        <v>588</v>
      </c>
      <c r="J236" s="21" t="b">
        <v>0</v>
      </c>
      <c r="K236" s="21" t="b">
        <v>0</v>
      </c>
      <c r="L236" s="18">
        <f>COUNTIF(C$2:C471,C236)</f>
        <v>1</v>
      </c>
      <c r="M236" s="18" t="s">
        <v>548</v>
      </c>
      <c r="N236" s="18" t="s">
        <v>547</v>
      </c>
      <c r="O236" s="18" t="s">
        <v>12</v>
      </c>
      <c r="P236" s="33" t="s">
        <v>12</v>
      </c>
    </row>
    <row r="237" spans="1:16" ht="16" customHeight="1" thickBot="1">
      <c r="A237" s="47" t="s">
        <v>42</v>
      </c>
      <c r="B237" s="48" t="s">
        <v>1329</v>
      </c>
      <c r="C237" s="48" t="s">
        <v>790</v>
      </c>
      <c r="D237" s="49" t="s">
        <v>484</v>
      </c>
      <c r="E237" s="49" t="s">
        <v>897</v>
      </c>
      <c r="F237" s="50">
        <v>6</v>
      </c>
      <c r="G237" s="50" t="s">
        <v>574</v>
      </c>
      <c r="H237" s="50">
        <v>6</v>
      </c>
      <c r="I237" s="50" t="s">
        <v>669</v>
      </c>
      <c r="J237" s="51" t="b">
        <v>0</v>
      </c>
      <c r="K237" s="51" t="b">
        <v>0</v>
      </c>
      <c r="L237" s="48">
        <f>COUNTIF(C$2:C472,C237)</f>
        <v>1</v>
      </c>
      <c r="M237" s="48" t="s">
        <v>548</v>
      </c>
      <c r="N237" s="48" t="s">
        <v>547</v>
      </c>
      <c r="O237" s="48" t="s">
        <v>12</v>
      </c>
      <c r="P237" s="52" t="s">
        <v>12</v>
      </c>
    </row>
    <row r="238" spans="1:16" ht="16" customHeight="1" thickTop="1">
      <c r="A238" s="42" t="s">
        <v>18</v>
      </c>
      <c r="B238" s="43" t="s">
        <v>1330</v>
      </c>
      <c r="C238" s="44" t="s">
        <v>1121</v>
      </c>
      <c r="D238" s="44" t="s">
        <v>238</v>
      </c>
      <c r="E238" s="44" t="s">
        <v>239</v>
      </c>
      <c r="F238" s="43">
        <v>10</v>
      </c>
      <c r="G238" s="43" t="s">
        <v>1075</v>
      </c>
      <c r="H238" s="43">
        <v>10</v>
      </c>
      <c r="I238" s="43" t="s">
        <v>1072</v>
      </c>
      <c r="J238" s="45" t="b">
        <v>0</v>
      </c>
      <c r="K238" s="45" t="b">
        <v>0</v>
      </c>
      <c r="L238" s="43">
        <v>1</v>
      </c>
      <c r="M238" s="43" t="s">
        <v>17</v>
      </c>
      <c r="N238" s="43" t="s">
        <v>17</v>
      </c>
      <c r="O238" s="43" t="s">
        <v>12</v>
      </c>
      <c r="P238" s="46" t="s">
        <v>12</v>
      </c>
    </row>
    <row r="239" spans="1:16" s="8" customFormat="1">
      <c r="A239" s="35" t="s">
        <v>18</v>
      </c>
      <c r="B239" s="23" t="s">
        <v>1330</v>
      </c>
      <c r="C239" s="24" t="s">
        <v>1122</v>
      </c>
      <c r="D239" s="24" t="s">
        <v>541</v>
      </c>
      <c r="E239" s="24" t="s">
        <v>542</v>
      </c>
      <c r="F239" s="23">
        <v>9</v>
      </c>
      <c r="G239" s="23" t="s">
        <v>1093</v>
      </c>
      <c r="H239" s="23">
        <v>16</v>
      </c>
      <c r="I239" s="23" t="s">
        <v>979</v>
      </c>
      <c r="J239" s="25" t="b">
        <v>0</v>
      </c>
      <c r="K239" s="25" t="b">
        <v>0</v>
      </c>
      <c r="L239" s="23">
        <v>1</v>
      </c>
      <c r="M239" s="23" t="s">
        <v>17</v>
      </c>
      <c r="N239" s="23" t="s">
        <v>17</v>
      </c>
      <c r="O239" s="23" t="s">
        <v>12</v>
      </c>
      <c r="P239" s="36" t="s">
        <v>12</v>
      </c>
    </row>
    <row r="240" spans="1:16" s="8" customFormat="1" ht="16" customHeight="1">
      <c r="A240" s="35" t="s">
        <v>19</v>
      </c>
      <c r="B240" s="23" t="s">
        <v>1330</v>
      </c>
      <c r="C240" s="24" t="s">
        <v>1123</v>
      </c>
      <c r="D240" s="24" t="s">
        <v>125</v>
      </c>
      <c r="E240" s="24" t="s">
        <v>270</v>
      </c>
      <c r="F240" s="23">
        <v>12</v>
      </c>
      <c r="G240" s="23" t="s">
        <v>605</v>
      </c>
      <c r="H240" s="23">
        <v>12</v>
      </c>
      <c r="I240" s="23" t="s">
        <v>619</v>
      </c>
      <c r="J240" s="25" t="b">
        <v>1</v>
      </c>
      <c r="K240" s="25" t="b">
        <v>0</v>
      </c>
      <c r="L240" s="23">
        <v>1</v>
      </c>
      <c r="M240" s="23" t="s">
        <v>17</v>
      </c>
      <c r="N240" s="23" t="s">
        <v>17</v>
      </c>
      <c r="O240" s="23" t="s">
        <v>12</v>
      </c>
      <c r="P240" s="36" t="s">
        <v>12</v>
      </c>
    </row>
    <row r="241" spans="1:16" s="8" customFormat="1" ht="16" customHeight="1">
      <c r="A241" s="35" t="s">
        <v>2</v>
      </c>
      <c r="B241" s="23" t="s">
        <v>1330</v>
      </c>
      <c r="C241" s="24" t="s">
        <v>1152</v>
      </c>
      <c r="D241" s="24" t="s">
        <v>543</v>
      </c>
      <c r="E241" s="24" t="s">
        <v>544</v>
      </c>
      <c r="F241" s="23">
        <v>9</v>
      </c>
      <c r="G241" s="23" t="s">
        <v>1050</v>
      </c>
      <c r="H241" s="23">
        <v>2</v>
      </c>
      <c r="I241" s="23" t="s">
        <v>1092</v>
      </c>
      <c r="J241" s="25" t="b">
        <v>1</v>
      </c>
      <c r="K241" s="25" t="b">
        <v>1</v>
      </c>
      <c r="L241" s="23">
        <v>1</v>
      </c>
      <c r="M241" s="23" t="s">
        <v>17</v>
      </c>
      <c r="N241" s="23" t="s">
        <v>17</v>
      </c>
      <c r="O241" s="23" t="s">
        <v>12</v>
      </c>
      <c r="P241" s="36" t="s">
        <v>12</v>
      </c>
    </row>
    <row r="242" spans="1:16" s="8" customFormat="1" ht="16" customHeight="1">
      <c r="A242" s="35" t="s">
        <v>28</v>
      </c>
      <c r="B242" s="23" t="s">
        <v>1330</v>
      </c>
      <c r="C242" s="24" t="s">
        <v>1124</v>
      </c>
      <c r="D242" s="24" t="s">
        <v>179</v>
      </c>
      <c r="E242" s="24" t="s">
        <v>185</v>
      </c>
      <c r="F242" s="23">
        <v>1</v>
      </c>
      <c r="G242" s="23" t="s">
        <v>584</v>
      </c>
      <c r="H242" s="23">
        <v>1</v>
      </c>
      <c r="I242" s="23" t="s">
        <v>584</v>
      </c>
      <c r="J242" s="25" t="b">
        <v>1</v>
      </c>
      <c r="K242" s="25" t="b">
        <v>0</v>
      </c>
      <c r="L242" s="23">
        <v>1</v>
      </c>
      <c r="M242" s="23" t="s">
        <v>17</v>
      </c>
      <c r="N242" s="23" t="s">
        <v>17</v>
      </c>
      <c r="O242" s="23" t="s">
        <v>12</v>
      </c>
      <c r="P242" s="36" t="s">
        <v>12</v>
      </c>
    </row>
    <row r="243" spans="1:16" s="8" customFormat="1">
      <c r="A243" s="35" t="s">
        <v>28</v>
      </c>
      <c r="B243" s="23" t="s">
        <v>1330</v>
      </c>
      <c r="C243" s="24" t="s">
        <v>1125</v>
      </c>
      <c r="D243" s="24" t="s">
        <v>463</v>
      </c>
      <c r="E243" s="24" t="s">
        <v>464</v>
      </c>
      <c r="F243" s="23">
        <v>4</v>
      </c>
      <c r="G243" s="23" t="s">
        <v>978</v>
      </c>
      <c r="H243" s="23">
        <v>16</v>
      </c>
      <c r="I243" s="23" t="s">
        <v>1000</v>
      </c>
      <c r="J243" s="25" t="b">
        <v>0</v>
      </c>
      <c r="K243" s="25" t="b">
        <v>0</v>
      </c>
      <c r="L243" s="23">
        <v>1</v>
      </c>
      <c r="M243" s="23" t="s">
        <v>17</v>
      </c>
      <c r="N243" s="23" t="s">
        <v>17</v>
      </c>
      <c r="O243" s="23" t="s">
        <v>12</v>
      </c>
      <c r="P243" s="36" t="s">
        <v>12</v>
      </c>
    </row>
    <row r="244" spans="1:16" s="8" customFormat="1" ht="16" customHeight="1">
      <c r="A244" s="35" t="s">
        <v>5</v>
      </c>
      <c r="B244" s="23" t="s">
        <v>1330</v>
      </c>
      <c r="C244" s="24" t="s">
        <v>1150</v>
      </c>
      <c r="D244" s="24" t="s">
        <v>232</v>
      </c>
      <c r="E244" s="24" t="s">
        <v>233</v>
      </c>
      <c r="F244" s="23">
        <v>10</v>
      </c>
      <c r="G244" s="23" t="s">
        <v>612</v>
      </c>
      <c r="H244" s="23">
        <v>10</v>
      </c>
      <c r="I244" s="23" t="s">
        <v>612</v>
      </c>
      <c r="J244" s="25" t="b">
        <v>1</v>
      </c>
      <c r="K244" s="25" t="b">
        <v>1</v>
      </c>
      <c r="L244" s="23">
        <v>1</v>
      </c>
      <c r="M244" s="23" t="s">
        <v>17</v>
      </c>
      <c r="N244" s="23" t="s">
        <v>17</v>
      </c>
      <c r="O244" s="23" t="s">
        <v>12</v>
      </c>
      <c r="P244" s="36" t="s">
        <v>12</v>
      </c>
    </row>
    <row r="245" spans="1:16" s="8" customFormat="1" ht="16" customHeight="1">
      <c r="A245" s="35" t="s">
        <v>5</v>
      </c>
      <c r="B245" s="23" t="s">
        <v>1330</v>
      </c>
      <c r="C245" s="24" t="s">
        <v>1153</v>
      </c>
      <c r="D245" s="24" t="s">
        <v>423</v>
      </c>
      <c r="E245" s="24" t="s">
        <v>424</v>
      </c>
      <c r="F245" s="23">
        <v>22</v>
      </c>
      <c r="G245" s="23" t="s">
        <v>1086</v>
      </c>
      <c r="H245" s="23">
        <v>22</v>
      </c>
      <c r="I245" s="23" t="s">
        <v>1046</v>
      </c>
      <c r="J245" s="25" t="b">
        <v>0</v>
      </c>
      <c r="K245" s="25" t="b">
        <v>0</v>
      </c>
      <c r="L245" s="23">
        <v>1</v>
      </c>
      <c r="M245" s="23" t="s">
        <v>17</v>
      </c>
      <c r="N245" s="23" t="s">
        <v>17</v>
      </c>
      <c r="O245" s="23" t="s">
        <v>12</v>
      </c>
      <c r="P245" s="36" t="s">
        <v>12</v>
      </c>
    </row>
    <row r="246" spans="1:16" s="8" customFormat="1" ht="16" customHeight="1">
      <c r="A246" s="35" t="s">
        <v>42</v>
      </c>
      <c r="B246" s="23" t="s">
        <v>1330</v>
      </c>
      <c r="C246" s="24" t="s">
        <v>1119</v>
      </c>
      <c r="D246" s="24" t="s">
        <v>545</v>
      </c>
      <c r="E246" s="24" t="s">
        <v>317</v>
      </c>
      <c r="F246" s="23">
        <v>12</v>
      </c>
      <c r="G246" s="23" t="s">
        <v>619</v>
      </c>
      <c r="H246" s="23">
        <v>6</v>
      </c>
      <c r="I246" s="23" t="s">
        <v>669</v>
      </c>
      <c r="J246" s="25" t="b">
        <v>0</v>
      </c>
      <c r="K246" s="25" t="b">
        <v>0</v>
      </c>
      <c r="L246" s="23">
        <v>1</v>
      </c>
      <c r="M246" s="23" t="s">
        <v>17</v>
      </c>
      <c r="N246" s="23" t="s">
        <v>17</v>
      </c>
      <c r="O246" s="23" t="s">
        <v>12</v>
      </c>
      <c r="P246" s="36" t="s">
        <v>12</v>
      </c>
    </row>
    <row r="247" spans="1:16" s="8" customFormat="1" ht="16" customHeight="1">
      <c r="A247" s="35" t="s">
        <v>42</v>
      </c>
      <c r="B247" s="23" t="s">
        <v>1330</v>
      </c>
      <c r="C247" s="24" t="s">
        <v>1126</v>
      </c>
      <c r="D247" s="24" t="s">
        <v>259</v>
      </c>
      <c r="E247" s="24" t="s">
        <v>260</v>
      </c>
      <c r="F247" s="23">
        <v>12</v>
      </c>
      <c r="G247" s="23" t="s">
        <v>635</v>
      </c>
      <c r="H247" s="23">
        <v>12</v>
      </c>
      <c r="I247" s="23" t="s">
        <v>635</v>
      </c>
      <c r="J247" s="25" t="b">
        <v>1</v>
      </c>
      <c r="K247" s="25" t="b">
        <v>1</v>
      </c>
      <c r="L247" s="23">
        <v>1</v>
      </c>
      <c r="M247" s="23" t="s">
        <v>17</v>
      </c>
      <c r="N247" s="23" t="s">
        <v>17</v>
      </c>
      <c r="O247" s="23" t="s">
        <v>12</v>
      </c>
      <c r="P247" s="36" t="s">
        <v>12</v>
      </c>
    </row>
    <row r="248" spans="1:16" s="8" customFormat="1" ht="16" customHeight="1">
      <c r="A248" s="35" t="s">
        <v>42</v>
      </c>
      <c r="B248" s="23" t="s">
        <v>1330</v>
      </c>
      <c r="C248" s="24" t="s">
        <v>1113</v>
      </c>
      <c r="D248" s="24" t="s">
        <v>121</v>
      </c>
      <c r="E248" s="24" t="s">
        <v>316</v>
      </c>
      <c r="F248" s="23">
        <v>12</v>
      </c>
      <c r="G248" s="23" t="s">
        <v>605</v>
      </c>
      <c r="H248" s="23">
        <v>6</v>
      </c>
      <c r="I248" s="23" t="s">
        <v>574</v>
      </c>
      <c r="J248" s="25" t="b">
        <v>1</v>
      </c>
      <c r="K248" s="25" t="b">
        <v>0</v>
      </c>
      <c r="L248" s="23">
        <v>1</v>
      </c>
      <c r="M248" s="23" t="s">
        <v>17</v>
      </c>
      <c r="N248" s="23" t="s">
        <v>17</v>
      </c>
      <c r="O248" s="23" t="s">
        <v>12</v>
      </c>
      <c r="P248" s="36" t="s">
        <v>12</v>
      </c>
    </row>
    <row r="249" spans="1:16" s="8" customFormat="1" ht="16" customHeight="1">
      <c r="A249" s="35" t="s">
        <v>44</v>
      </c>
      <c r="B249" s="23" t="s">
        <v>1330</v>
      </c>
      <c r="C249" s="24" t="s">
        <v>903</v>
      </c>
      <c r="D249" s="24" t="s">
        <v>539</v>
      </c>
      <c r="E249" s="24" t="s">
        <v>540</v>
      </c>
      <c r="F249" s="23">
        <v>9</v>
      </c>
      <c r="G249" s="23" t="s">
        <v>996</v>
      </c>
      <c r="H249" s="23">
        <v>9</v>
      </c>
      <c r="I249" s="23" t="s">
        <v>828</v>
      </c>
      <c r="J249" s="25" t="b">
        <v>0</v>
      </c>
      <c r="K249" s="25" t="b">
        <v>0</v>
      </c>
      <c r="L249" s="23">
        <v>1</v>
      </c>
      <c r="M249" s="23" t="s">
        <v>17</v>
      </c>
      <c r="N249" s="23" t="s">
        <v>17</v>
      </c>
      <c r="O249" s="23" t="s">
        <v>12</v>
      </c>
      <c r="P249" s="36" t="s">
        <v>12</v>
      </c>
    </row>
    <row r="250" spans="1:16" s="8" customFormat="1" ht="16" customHeight="1">
      <c r="A250" s="35" t="s">
        <v>45</v>
      </c>
      <c r="B250" s="23" t="s">
        <v>1330</v>
      </c>
      <c r="C250" s="24" t="s">
        <v>1114</v>
      </c>
      <c r="D250" s="24" t="s">
        <v>425</v>
      </c>
      <c r="E250" s="24" t="s">
        <v>426</v>
      </c>
      <c r="F250" s="23">
        <v>22</v>
      </c>
      <c r="G250" s="23" t="s">
        <v>1038</v>
      </c>
      <c r="H250" s="23">
        <v>22</v>
      </c>
      <c r="I250" s="23" t="s">
        <v>1055</v>
      </c>
      <c r="J250" s="25" t="b">
        <v>0</v>
      </c>
      <c r="K250" s="25" t="b">
        <v>0</v>
      </c>
      <c r="L250" s="23">
        <v>1</v>
      </c>
      <c r="M250" s="23" t="s">
        <v>17</v>
      </c>
      <c r="N250" s="23" t="s">
        <v>17</v>
      </c>
      <c r="O250" s="23" t="s">
        <v>12</v>
      </c>
      <c r="P250" s="36" t="s">
        <v>12</v>
      </c>
    </row>
    <row r="251" spans="1:16" s="8" customFormat="1" ht="16" customHeight="1">
      <c r="A251" s="35" t="s">
        <v>51</v>
      </c>
      <c r="B251" s="23" t="s">
        <v>1330</v>
      </c>
      <c r="C251" s="24" t="s">
        <v>1115</v>
      </c>
      <c r="D251" s="24" t="s">
        <v>407</v>
      </c>
      <c r="E251" s="24" t="s">
        <v>408</v>
      </c>
      <c r="F251" s="23">
        <v>2</v>
      </c>
      <c r="G251" s="23" t="s">
        <v>1052</v>
      </c>
      <c r="H251" s="23">
        <v>7</v>
      </c>
      <c r="I251" s="23" t="s">
        <v>592</v>
      </c>
      <c r="J251" s="25" t="b">
        <v>0</v>
      </c>
      <c r="K251" s="25" t="b">
        <v>1</v>
      </c>
      <c r="L251" s="23">
        <v>1</v>
      </c>
      <c r="M251" s="23" t="s">
        <v>17</v>
      </c>
      <c r="N251" s="23" t="s">
        <v>17</v>
      </c>
      <c r="O251" s="23" t="s">
        <v>12</v>
      </c>
      <c r="P251" s="36" t="s">
        <v>12</v>
      </c>
    </row>
    <row r="252" spans="1:16" s="8" customFormat="1" ht="16" customHeight="1">
      <c r="A252" s="35" t="s">
        <v>51</v>
      </c>
      <c r="B252" s="23" t="s">
        <v>1330</v>
      </c>
      <c r="C252" s="24" t="s">
        <v>1127</v>
      </c>
      <c r="D252" s="24" t="s">
        <v>509</v>
      </c>
      <c r="E252" s="24" t="s">
        <v>510</v>
      </c>
      <c r="F252" s="23">
        <v>7</v>
      </c>
      <c r="G252" s="23" t="s">
        <v>774</v>
      </c>
      <c r="H252" s="23">
        <v>7</v>
      </c>
      <c r="I252" s="23" t="s">
        <v>738</v>
      </c>
      <c r="J252" s="25" t="b">
        <v>0</v>
      </c>
      <c r="K252" s="25" t="b">
        <v>0</v>
      </c>
      <c r="L252" s="23">
        <v>1</v>
      </c>
      <c r="M252" s="23" t="s">
        <v>17</v>
      </c>
      <c r="N252" s="23" t="s">
        <v>17</v>
      </c>
      <c r="O252" s="23" t="s">
        <v>12</v>
      </c>
      <c r="P252" s="36" t="s">
        <v>12</v>
      </c>
    </row>
    <row r="253" spans="1:16" s="8" customFormat="1" ht="16" customHeight="1">
      <c r="A253" s="35" t="s">
        <v>51</v>
      </c>
      <c r="B253" s="23" t="s">
        <v>1330</v>
      </c>
      <c r="C253" s="24" t="s">
        <v>1120</v>
      </c>
      <c r="D253" s="24" t="s">
        <v>119</v>
      </c>
      <c r="E253" s="24" t="s">
        <v>546</v>
      </c>
      <c r="F253" s="23">
        <v>7</v>
      </c>
      <c r="G253" s="23" t="s">
        <v>592</v>
      </c>
      <c r="H253" s="23">
        <v>7</v>
      </c>
      <c r="I253" s="23" t="s">
        <v>592</v>
      </c>
      <c r="J253" s="25" t="b">
        <v>1</v>
      </c>
      <c r="K253" s="25" t="b">
        <v>1</v>
      </c>
      <c r="L253" s="23">
        <v>6</v>
      </c>
      <c r="M253" s="23" t="s">
        <v>17</v>
      </c>
      <c r="N253" s="23" t="s">
        <v>17</v>
      </c>
      <c r="O253" s="23" t="s">
        <v>12</v>
      </c>
      <c r="P253" s="36" t="s">
        <v>12</v>
      </c>
    </row>
    <row r="254" spans="1:16" s="8" customFormat="1" ht="16" customHeight="1">
      <c r="A254" s="35" t="s">
        <v>51</v>
      </c>
      <c r="B254" s="23" t="s">
        <v>1330</v>
      </c>
      <c r="C254" s="24" t="s">
        <v>1128</v>
      </c>
      <c r="D254" s="24" t="s">
        <v>518</v>
      </c>
      <c r="E254" s="24" t="s">
        <v>519</v>
      </c>
      <c r="F254" s="23">
        <v>7</v>
      </c>
      <c r="G254" s="23" t="s">
        <v>738</v>
      </c>
      <c r="H254" s="23">
        <v>7</v>
      </c>
      <c r="I254" s="23" t="s">
        <v>845</v>
      </c>
      <c r="J254" s="25" t="b">
        <v>0</v>
      </c>
      <c r="K254" s="25" t="b">
        <v>1</v>
      </c>
      <c r="L254" s="23">
        <v>1</v>
      </c>
      <c r="M254" s="23" t="s">
        <v>17</v>
      </c>
      <c r="N254" s="23" t="s">
        <v>17</v>
      </c>
      <c r="O254" s="23" t="s">
        <v>12</v>
      </c>
      <c r="P254" s="36" t="s">
        <v>12</v>
      </c>
    </row>
    <row r="255" spans="1:16" s="8" customFormat="1" ht="16" customHeight="1">
      <c r="A255" s="35" t="s">
        <v>59</v>
      </c>
      <c r="B255" s="23" t="s">
        <v>1330</v>
      </c>
      <c r="C255" s="24" t="s">
        <v>1116</v>
      </c>
      <c r="D255" s="24" t="s">
        <v>125</v>
      </c>
      <c r="E255" s="24" t="s">
        <v>262</v>
      </c>
      <c r="F255" s="23">
        <v>12</v>
      </c>
      <c r="G255" s="23" t="s">
        <v>605</v>
      </c>
      <c r="H255" s="23">
        <v>12</v>
      </c>
      <c r="I255" s="23" t="s">
        <v>619</v>
      </c>
      <c r="J255" s="25" t="b">
        <v>1</v>
      </c>
      <c r="K255" s="25" t="b">
        <v>0</v>
      </c>
      <c r="L255" s="23">
        <v>1</v>
      </c>
      <c r="M255" s="23" t="s">
        <v>17</v>
      </c>
      <c r="N255" s="23" t="s">
        <v>17</v>
      </c>
      <c r="O255" s="23" t="s">
        <v>12</v>
      </c>
      <c r="P255" s="36" t="s">
        <v>12</v>
      </c>
    </row>
    <row r="256" spans="1:16" s="8" customFormat="1" ht="16" customHeight="1">
      <c r="A256" s="35" t="s">
        <v>62</v>
      </c>
      <c r="B256" s="23" t="s">
        <v>1330</v>
      </c>
      <c r="C256" s="24" t="s">
        <v>1154</v>
      </c>
      <c r="D256" s="24" t="s">
        <v>230</v>
      </c>
      <c r="E256" s="24" t="s">
        <v>231</v>
      </c>
      <c r="F256" s="23">
        <v>10</v>
      </c>
      <c r="G256" s="23" t="s">
        <v>670</v>
      </c>
      <c r="H256" s="23">
        <v>10</v>
      </c>
      <c r="I256" s="23" t="s">
        <v>670</v>
      </c>
      <c r="J256" s="25" t="b">
        <v>0</v>
      </c>
      <c r="K256" s="25" t="b">
        <v>0</v>
      </c>
      <c r="L256" s="23">
        <v>1</v>
      </c>
      <c r="M256" s="23" t="s">
        <v>17</v>
      </c>
      <c r="N256" s="23" t="s">
        <v>17</v>
      </c>
      <c r="O256" s="23" t="s">
        <v>12</v>
      </c>
      <c r="P256" s="36" t="s">
        <v>12</v>
      </c>
    </row>
    <row r="257" spans="1:16" s="8" customFormat="1" ht="16" customHeight="1">
      <c r="A257" s="35" t="s">
        <v>62</v>
      </c>
      <c r="B257" s="23" t="s">
        <v>1330</v>
      </c>
      <c r="C257" s="24" t="s">
        <v>1155</v>
      </c>
      <c r="D257" s="24" t="s">
        <v>244</v>
      </c>
      <c r="E257" s="24" t="s">
        <v>240</v>
      </c>
      <c r="F257" s="23">
        <v>11</v>
      </c>
      <c r="G257" s="23" t="s">
        <v>727</v>
      </c>
      <c r="H257" s="23">
        <v>11</v>
      </c>
      <c r="I257" s="23" t="s">
        <v>1067</v>
      </c>
      <c r="J257" s="25" t="b">
        <v>0</v>
      </c>
      <c r="K257" s="25" t="b">
        <v>0</v>
      </c>
      <c r="L257" s="23">
        <v>1</v>
      </c>
      <c r="M257" s="23" t="s">
        <v>17</v>
      </c>
      <c r="N257" s="23" t="s">
        <v>17</v>
      </c>
      <c r="O257" s="23" t="s">
        <v>12</v>
      </c>
      <c r="P257" s="36" t="s">
        <v>12</v>
      </c>
    </row>
    <row r="258" spans="1:16" s="8" customFormat="1" ht="16" customHeight="1">
      <c r="A258" s="35" t="s">
        <v>62</v>
      </c>
      <c r="B258" s="23" t="s">
        <v>1330</v>
      </c>
      <c r="C258" s="24" t="s">
        <v>1129</v>
      </c>
      <c r="D258" s="24" t="s">
        <v>355</v>
      </c>
      <c r="E258" s="24" t="s">
        <v>356</v>
      </c>
      <c r="F258" s="23">
        <v>16</v>
      </c>
      <c r="G258" s="23" t="s">
        <v>910</v>
      </c>
      <c r="H258" s="23">
        <v>15</v>
      </c>
      <c r="I258" s="23" t="s">
        <v>629</v>
      </c>
      <c r="J258" s="25" t="b">
        <v>0</v>
      </c>
      <c r="K258" s="25" t="b">
        <v>0</v>
      </c>
      <c r="L258" s="23">
        <v>1</v>
      </c>
      <c r="M258" s="23" t="s">
        <v>17</v>
      </c>
      <c r="N258" s="23" t="s">
        <v>17</v>
      </c>
      <c r="O258" s="23" t="s">
        <v>12</v>
      </c>
      <c r="P258" s="36" t="s">
        <v>12</v>
      </c>
    </row>
    <row r="259" spans="1:16" s="8" customFormat="1" ht="16" customHeight="1">
      <c r="A259" s="35" t="s">
        <v>62</v>
      </c>
      <c r="B259" s="23" t="s">
        <v>1330</v>
      </c>
      <c r="C259" s="24" t="s">
        <v>1117</v>
      </c>
      <c r="D259" s="24" t="s">
        <v>386</v>
      </c>
      <c r="E259" s="24" t="s">
        <v>387</v>
      </c>
      <c r="F259" s="23">
        <v>19</v>
      </c>
      <c r="G259" s="23" t="s">
        <v>979</v>
      </c>
      <c r="H259" s="23">
        <v>19</v>
      </c>
      <c r="I259" s="23" t="s">
        <v>1036</v>
      </c>
      <c r="J259" s="25" t="b">
        <v>0</v>
      </c>
      <c r="K259" s="25" t="b">
        <v>1</v>
      </c>
      <c r="L259" s="23">
        <v>1</v>
      </c>
      <c r="M259" s="23" t="s">
        <v>17</v>
      </c>
      <c r="N259" s="23" t="s">
        <v>17</v>
      </c>
      <c r="O259" s="23" t="s">
        <v>12</v>
      </c>
      <c r="P259" s="36" t="s">
        <v>12</v>
      </c>
    </row>
    <row r="260" spans="1:16" s="8" customFormat="1" ht="16" customHeight="1">
      <c r="A260" s="35" t="s">
        <v>62</v>
      </c>
      <c r="B260" s="23" t="s">
        <v>1330</v>
      </c>
      <c r="C260" s="24" t="s">
        <v>1130</v>
      </c>
      <c r="D260" s="24" t="s">
        <v>438</v>
      </c>
      <c r="E260" s="24" t="s">
        <v>439</v>
      </c>
      <c r="F260" s="23">
        <v>3</v>
      </c>
      <c r="G260" s="23" t="s">
        <v>861</v>
      </c>
      <c r="H260" s="23">
        <v>3</v>
      </c>
      <c r="I260" s="23" t="s">
        <v>1077</v>
      </c>
      <c r="J260" s="25" t="b">
        <v>0</v>
      </c>
      <c r="K260" s="25" t="b">
        <v>0</v>
      </c>
      <c r="L260" s="23">
        <v>1</v>
      </c>
      <c r="M260" s="23" t="s">
        <v>17</v>
      </c>
      <c r="N260" s="23" t="s">
        <v>17</v>
      </c>
      <c r="O260" s="23" t="s">
        <v>12</v>
      </c>
      <c r="P260" s="36" t="s">
        <v>12</v>
      </c>
    </row>
    <row r="261" spans="1:16" s="8" customFormat="1" ht="16" customHeight="1">
      <c r="A261" s="35" t="s">
        <v>62</v>
      </c>
      <c r="B261" s="23" t="s">
        <v>1330</v>
      </c>
      <c r="C261" s="24" t="s">
        <v>1156</v>
      </c>
      <c r="D261" s="24" t="s">
        <v>467</v>
      </c>
      <c r="E261" s="24" t="s">
        <v>468</v>
      </c>
      <c r="F261" s="23">
        <v>5</v>
      </c>
      <c r="G261" s="23" t="s">
        <v>828</v>
      </c>
      <c r="H261" s="23">
        <v>2</v>
      </c>
      <c r="I261" s="23" t="s">
        <v>1043</v>
      </c>
      <c r="J261" s="25" t="b">
        <v>0</v>
      </c>
      <c r="K261" s="25" t="b">
        <v>0</v>
      </c>
      <c r="L261" s="23">
        <v>1</v>
      </c>
      <c r="M261" s="23" t="s">
        <v>17</v>
      </c>
      <c r="N261" s="23" t="s">
        <v>17</v>
      </c>
      <c r="O261" s="23" t="s">
        <v>12</v>
      </c>
      <c r="P261" s="36" t="s">
        <v>12</v>
      </c>
    </row>
    <row r="262" spans="1:16" s="8" customFormat="1">
      <c r="A262" s="35" t="s">
        <v>8</v>
      </c>
      <c r="B262" s="23" t="s">
        <v>1330</v>
      </c>
      <c r="C262" s="24" t="s">
        <v>1151</v>
      </c>
      <c r="D262" s="24" t="s">
        <v>177</v>
      </c>
      <c r="E262" s="24" t="s">
        <v>178</v>
      </c>
      <c r="F262" s="23">
        <v>1</v>
      </c>
      <c r="G262" s="23" t="s">
        <v>1065</v>
      </c>
      <c r="H262" s="23">
        <v>1</v>
      </c>
      <c r="I262" s="23" t="s">
        <v>1065</v>
      </c>
      <c r="J262" s="25" t="b">
        <v>0</v>
      </c>
      <c r="K262" s="25" t="b">
        <v>0</v>
      </c>
      <c r="L262" s="23">
        <v>1</v>
      </c>
      <c r="M262" s="23" t="s">
        <v>17</v>
      </c>
      <c r="N262" s="23" t="s">
        <v>17</v>
      </c>
      <c r="O262" s="23" t="s">
        <v>12</v>
      </c>
      <c r="P262" s="36" t="s">
        <v>12</v>
      </c>
    </row>
    <row r="263" spans="1:16" s="8" customFormat="1" ht="16" customHeight="1">
      <c r="A263" s="35" t="s">
        <v>8</v>
      </c>
      <c r="B263" s="23" t="s">
        <v>1330</v>
      </c>
      <c r="C263" s="24" t="s">
        <v>1148</v>
      </c>
      <c r="D263" s="24" t="s">
        <v>164</v>
      </c>
      <c r="E263" s="24" t="s">
        <v>165</v>
      </c>
      <c r="F263" s="23">
        <v>1</v>
      </c>
      <c r="G263" s="23" t="s">
        <v>1101</v>
      </c>
      <c r="H263" s="23">
        <v>1</v>
      </c>
      <c r="I263" s="23" t="s">
        <v>1101</v>
      </c>
      <c r="J263" s="25" t="b">
        <v>0</v>
      </c>
      <c r="K263" s="25" t="b">
        <v>0</v>
      </c>
      <c r="L263" s="23">
        <v>1</v>
      </c>
      <c r="M263" s="23" t="s">
        <v>17</v>
      </c>
      <c r="N263" s="23" t="s">
        <v>17</v>
      </c>
      <c r="O263" s="23" t="s">
        <v>12</v>
      </c>
      <c r="P263" s="36" t="s">
        <v>12</v>
      </c>
    </row>
    <row r="264" spans="1:16" s="8" customFormat="1" ht="16" customHeight="1">
      <c r="A264" s="35" t="s">
        <v>78</v>
      </c>
      <c r="B264" s="23" t="s">
        <v>1330</v>
      </c>
      <c r="C264" s="24" t="s">
        <v>1157</v>
      </c>
      <c r="D264" s="24" t="s">
        <v>432</v>
      </c>
      <c r="E264" s="24" t="s">
        <v>433</v>
      </c>
      <c r="F264" s="23">
        <v>3</v>
      </c>
      <c r="G264" s="23" t="s">
        <v>994</v>
      </c>
      <c r="H264" s="23">
        <v>3</v>
      </c>
      <c r="I264" s="23" t="s">
        <v>994</v>
      </c>
      <c r="J264" s="25" t="b">
        <v>0</v>
      </c>
      <c r="K264" s="25" t="b">
        <v>0</v>
      </c>
      <c r="L264" s="23">
        <v>1</v>
      </c>
      <c r="M264" s="23" t="s">
        <v>17</v>
      </c>
      <c r="N264" s="23" t="s">
        <v>17</v>
      </c>
      <c r="O264" s="23" t="s">
        <v>12</v>
      </c>
      <c r="P264" s="36" t="s">
        <v>12</v>
      </c>
    </row>
    <row r="265" spans="1:16" s="8" customFormat="1" ht="16" customHeight="1">
      <c r="A265" s="35" t="s">
        <v>78</v>
      </c>
      <c r="B265" s="23" t="s">
        <v>1330</v>
      </c>
      <c r="C265" s="24" t="s">
        <v>1158</v>
      </c>
      <c r="D265" s="24" t="s">
        <v>485</v>
      </c>
      <c r="E265" s="24" t="s">
        <v>486</v>
      </c>
      <c r="F265" s="23">
        <v>6</v>
      </c>
      <c r="G265" s="23" t="s">
        <v>1032</v>
      </c>
      <c r="H265" s="23">
        <v>6</v>
      </c>
      <c r="I265" s="23" t="s">
        <v>699</v>
      </c>
      <c r="J265" s="25" t="b">
        <v>0</v>
      </c>
      <c r="K265" s="25" t="b">
        <v>0</v>
      </c>
      <c r="L265" s="23">
        <v>1</v>
      </c>
      <c r="M265" s="23" t="s">
        <v>17</v>
      </c>
      <c r="N265" s="23" t="s">
        <v>17</v>
      </c>
      <c r="O265" s="23" t="s">
        <v>12</v>
      </c>
      <c r="P265" s="36" t="s">
        <v>12</v>
      </c>
    </row>
    <row r="266" spans="1:16" s="8" customFormat="1" ht="16" customHeight="1">
      <c r="A266" s="35" t="s">
        <v>78</v>
      </c>
      <c r="B266" s="23" t="s">
        <v>1330</v>
      </c>
      <c r="C266" s="24" t="s">
        <v>1131</v>
      </c>
      <c r="D266" s="24" t="s">
        <v>500</v>
      </c>
      <c r="E266" s="24" t="s">
        <v>119</v>
      </c>
      <c r="F266" s="23">
        <v>7</v>
      </c>
      <c r="G266" s="23" t="s">
        <v>592</v>
      </c>
      <c r="H266" s="23">
        <v>7</v>
      </c>
      <c r="I266" s="23" t="s">
        <v>592</v>
      </c>
      <c r="J266" s="25" t="b">
        <v>1</v>
      </c>
      <c r="K266" s="25" t="b">
        <v>1</v>
      </c>
      <c r="L266" s="23">
        <v>4</v>
      </c>
      <c r="M266" s="23" t="s">
        <v>17</v>
      </c>
      <c r="N266" s="23" t="s">
        <v>17</v>
      </c>
      <c r="O266" s="23" t="s">
        <v>12</v>
      </c>
      <c r="P266" s="36" t="s">
        <v>12</v>
      </c>
    </row>
    <row r="267" spans="1:16" s="8" customFormat="1" ht="16" customHeight="1">
      <c r="A267" s="35" t="s">
        <v>82</v>
      </c>
      <c r="B267" s="23" t="s">
        <v>1330</v>
      </c>
      <c r="C267" s="24" t="s">
        <v>1132</v>
      </c>
      <c r="D267" s="24" t="s">
        <v>382</v>
      </c>
      <c r="E267" s="24" t="s">
        <v>383</v>
      </c>
      <c r="F267" s="23">
        <v>19</v>
      </c>
      <c r="G267" s="23" t="s">
        <v>1055</v>
      </c>
      <c r="H267" s="23">
        <v>19</v>
      </c>
      <c r="I267" s="23" t="s">
        <v>723</v>
      </c>
      <c r="J267" s="25" t="b">
        <v>0</v>
      </c>
      <c r="K267" s="25" t="b">
        <v>0</v>
      </c>
      <c r="L267" s="23">
        <v>1</v>
      </c>
      <c r="M267" s="23" t="s">
        <v>17</v>
      </c>
      <c r="N267" s="23" t="s">
        <v>17</v>
      </c>
      <c r="O267" s="23" t="s">
        <v>12</v>
      </c>
      <c r="P267" s="36" t="s">
        <v>12</v>
      </c>
    </row>
    <row r="268" spans="1:16" s="8" customFormat="1" ht="16" customHeight="1">
      <c r="A268" s="35" t="s">
        <v>83</v>
      </c>
      <c r="B268" s="23" t="s">
        <v>1330</v>
      </c>
      <c r="C268" s="24" t="s">
        <v>1149</v>
      </c>
      <c r="D268" s="24" t="s">
        <v>545</v>
      </c>
      <c r="E268" s="24" t="s">
        <v>253</v>
      </c>
      <c r="F268" s="23">
        <v>12</v>
      </c>
      <c r="G268" s="23" t="s">
        <v>619</v>
      </c>
      <c r="H268" s="23">
        <v>12</v>
      </c>
      <c r="I268" s="23" t="s">
        <v>619</v>
      </c>
      <c r="J268" s="25" t="b">
        <v>0</v>
      </c>
      <c r="K268" s="25" t="b">
        <v>0</v>
      </c>
      <c r="L268" s="23">
        <v>1</v>
      </c>
      <c r="M268" s="23" t="s">
        <v>17</v>
      </c>
      <c r="N268" s="23" t="s">
        <v>17</v>
      </c>
      <c r="O268" s="23" t="s">
        <v>12</v>
      </c>
      <c r="P268" s="36" t="s">
        <v>12</v>
      </c>
    </row>
    <row r="269" spans="1:16" s="8" customFormat="1" ht="16" customHeight="1">
      <c r="A269" s="35" t="s">
        <v>85</v>
      </c>
      <c r="B269" s="23" t="s">
        <v>1330</v>
      </c>
      <c r="C269" s="24" t="s">
        <v>1118</v>
      </c>
      <c r="D269" s="24" t="s">
        <v>396</v>
      </c>
      <c r="E269" s="24" t="s">
        <v>404</v>
      </c>
      <c r="F269" s="23">
        <v>2</v>
      </c>
      <c r="G269" s="23" t="s">
        <v>959</v>
      </c>
      <c r="H269" s="23">
        <v>2</v>
      </c>
      <c r="I269" s="23" t="s">
        <v>1043</v>
      </c>
      <c r="J269" s="25" t="b">
        <v>0</v>
      </c>
      <c r="K269" s="25" t="b">
        <v>0</v>
      </c>
      <c r="L269" s="23">
        <v>1</v>
      </c>
      <c r="M269" s="23" t="s">
        <v>17</v>
      </c>
      <c r="N269" s="23" t="s">
        <v>17</v>
      </c>
      <c r="O269" s="23" t="s">
        <v>12</v>
      </c>
      <c r="P269" s="36" t="s">
        <v>12</v>
      </c>
    </row>
    <row r="270" spans="1:16" s="8" customFormat="1" ht="16" customHeight="1">
      <c r="A270" s="35" t="s">
        <v>86</v>
      </c>
      <c r="B270" s="23" t="s">
        <v>1330</v>
      </c>
      <c r="C270" s="24" t="s">
        <v>1133</v>
      </c>
      <c r="D270" s="24" t="s">
        <v>290</v>
      </c>
      <c r="E270" s="24" t="s">
        <v>256</v>
      </c>
      <c r="F270" s="23">
        <v>12</v>
      </c>
      <c r="G270" s="23" t="s">
        <v>649</v>
      </c>
      <c r="H270" s="23">
        <v>12</v>
      </c>
      <c r="I270" s="23" t="s">
        <v>605</v>
      </c>
      <c r="J270" s="25" t="b">
        <v>0</v>
      </c>
      <c r="K270" s="25" t="b">
        <v>1</v>
      </c>
      <c r="L270" s="23">
        <v>1</v>
      </c>
      <c r="M270" s="23" t="s">
        <v>17</v>
      </c>
      <c r="N270" s="23" t="s">
        <v>17</v>
      </c>
      <c r="O270" s="23" t="s">
        <v>12</v>
      </c>
      <c r="P270" s="36" t="s">
        <v>12</v>
      </c>
    </row>
    <row r="271" spans="1:16" s="8" customFormat="1" ht="16" customHeight="1">
      <c r="A271" s="35" t="s">
        <v>86</v>
      </c>
      <c r="B271" s="23" t="s">
        <v>1330</v>
      </c>
      <c r="C271" s="24" t="s">
        <v>1134</v>
      </c>
      <c r="D271" s="24" t="s">
        <v>477</v>
      </c>
      <c r="E271" s="24" t="s">
        <v>478</v>
      </c>
      <c r="F271" s="23">
        <v>6</v>
      </c>
      <c r="G271" s="23" t="s">
        <v>708</v>
      </c>
      <c r="H271" s="23">
        <v>6</v>
      </c>
      <c r="I271" s="23" t="s">
        <v>708</v>
      </c>
      <c r="J271" s="25" t="b">
        <v>0</v>
      </c>
      <c r="K271" s="25" t="b">
        <v>0</v>
      </c>
      <c r="L271" s="23">
        <v>1</v>
      </c>
      <c r="M271" s="23" t="s">
        <v>17</v>
      </c>
      <c r="N271" s="23" t="s">
        <v>17</v>
      </c>
      <c r="O271" s="23" t="s">
        <v>12</v>
      </c>
      <c r="P271" s="36" t="s">
        <v>12</v>
      </c>
    </row>
    <row r="272" spans="1:16" s="8" customFormat="1" ht="16" customHeight="1">
      <c r="A272" s="35" t="s">
        <v>86</v>
      </c>
      <c r="B272" s="23" t="s">
        <v>1330</v>
      </c>
      <c r="C272" s="24" t="s">
        <v>1135</v>
      </c>
      <c r="D272" s="24" t="s">
        <v>479</v>
      </c>
      <c r="E272" s="24" t="s">
        <v>480</v>
      </c>
      <c r="F272" s="23">
        <v>6</v>
      </c>
      <c r="G272" s="23" t="s">
        <v>699</v>
      </c>
      <c r="H272" s="23">
        <v>6</v>
      </c>
      <c r="I272" s="23" t="s">
        <v>579</v>
      </c>
      <c r="J272" s="25" t="b">
        <v>0</v>
      </c>
      <c r="K272" s="25" t="b">
        <v>0</v>
      </c>
      <c r="L272" s="23">
        <v>1</v>
      </c>
      <c r="M272" s="23" t="s">
        <v>17</v>
      </c>
      <c r="N272" s="23" t="s">
        <v>17</v>
      </c>
      <c r="O272" s="23" t="s">
        <v>12</v>
      </c>
      <c r="P272" s="36" t="s">
        <v>12</v>
      </c>
    </row>
    <row r="273" spans="1:16" s="8" customFormat="1" ht="16" customHeight="1">
      <c r="A273" s="35" t="s">
        <v>87</v>
      </c>
      <c r="B273" s="23" t="s">
        <v>1330</v>
      </c>
      <c r="C273" s="24" t="s">
        <v>1136</v>
      </c>
      <c r="D273" s="24" t="s">
        <v>247</v>
      </c>
      <c r="E273" s="24" t="s">
        <v>248</v>
      </c>
      <c r="F273" s="23">
        <v>11</v>
      </c>
      <c r="G273" s="23" t="s">
        <v>1046</v>
      </c>
      <c r="H273" s="23">
        <v>11</v>
      </c>
      <c r="I273" s="23" t="s">
        <v>609</v>
      </c>
      <c r="J273" s="25" t="b">
        <v>0</v>
      </c>
      <c r="K273" s="25" t="b">
        <v>0</v>
      </c>
      <c r="L273" s="23">
        <v>1</v>
      </c>
      <c r="M273" s="23" t="s">
        <v>17</v>
      </c>
      <c r="N273" s="23" t="s">
        <v>17</v>
      </c>
      <c r="O273" s="23" t="s">
        <v>12</v>
      </c>
      <c r="P273" s="36" t="s">
        <v>12</v>
      </c>
    </row>
    <row r="274" spans="1:16" s="8" customFormat="1" ht="16" customHeight="1">
      <c r="A274" s="35" t="s">
        <v>87</v>
      </c>
      <c r="B274" s="23" t="s">
        <v>1330</v>
      </c>
      <c r="C274" s="24" t="s">
        <v>940</v>
      </c>
      <c r="D274" s="24" t="s">
        <v>296</v>
      </c>
      <c r="E274" s="24" t="s">
        <v>260</v>
      </c>
      <c r="F274" s="23">
        <v>12</v>
      </c>
      <c r="G274" s="23" t="s">
        <v>649</v>
      </c>
      <c r="H274" s="23">
        <v>12</v>
      </c>
      <c r="I274" s="23" t="s">
        <v>635</v>
      </c>
      <c r="J274" s="25" t="b">
        <v>0</v>
      </c>
      <c r="K274" s="25" t="b">
        <v>1</v>
      </c>
      <c r="L274" s="23">
        <v>1</v>
      </c>
      <c r="M274" s="23" t="s">
        <v>17</v>
      </c>
      <c r="N274" s="23" t="s">
        <v>17</v>
      </c>
      <c r="O274" s="23" t="s">
        <v>12</v>
      </c>
      <c r="P274" s="36" t="s">
        <v>12</v>
      </c>
    </row>
    <row r="275" spans="1:16" s="8" customFormat="1" ht="16" customHeight="1">
      <c r="A275" s="35" t="s">
        <v>89</v>
      </c>
      <c r="B275" s="23" t="s">
        <v>1330</v>
      </c>
      <c r="C275" s="24" t="s">
        <v>1137</v>
      </c>
      <c r="D275" s="24" t="s">
        <v>259</v>
      </c>
      <c r="E275" s="24" t="s">
        <v>123</v>
      </c>
      <c r="F275" s="23">
        <v>12</v>
      </c>
      <c r="G275" s="23" t="s">
        <v>635</v>
      </c>
      <c r="H275" s="23">
        <v>12</v>
      </c>
      <c r="I275" s="23" t="s">
        <v>619</v>
      </c>
      <c r="J275" s="25" t="b">
        <v>1</v>
      </c>
      <c r="K275" s="25" t="b">
        <v>1</v>
      </c>
      <c r="L275" s="23">
        <v>1</v>
      </c>
      <c r="M275" s="23" t="s">
        <v>17</v>
      </c>
      <c r="N275" s="23" t="s">
        <v>17</v>
      </c>
      <c r="O275" s="23" t="s">
        <v>12</v>
      </c>
      <c r="P275" s="36" t="s">
        <v>12</v>
      </c>
    </row>
    <row r="276" spans="1:16" s="8" customFormat="1" ht="16" customHeight="1">
      <c r="A276" s="35" t="s">
        <v>97</v>
      </c>
      <c r="B276" s="23" t="s">
        <v>1330</v>
      </c>
      <c r="C276" s="24" t="s">
        <v>1138</v>
      </c>
      <c r="D276" s="24" t="s">
        <v>208</v>
      </c>
      <c r="E276" s="24" t="s">
        <v>209</v>
      </c>
      <c r="F276" s="23">
        <v>1</v>
      </c>
      <c r="G276" s="23" t="s">
        <v>585</v>
      </c>
      <c r="H276" s="23">
        <v>1</v>
      </c>
      <c r="I276" s="23" t="s">
        <v>853</v>
      </c>
      <c r="J276" s="25" t="b">
        <v>0</v>
      </c>
      <c r="K276" s="25" t="b">
        <v>0</v>
      </c>
      <c r="L276" s="23">
        <v>1</v>
      </c>
      <c r="M276" s="23" t="s">
        <v>17</v>
      </c>
      <c r="N276" s="23" t="s">
        <v>17</v>
      </c>
      <c r="O276" s="23" t="s">
        <v>12</v>
      </c>
      <c r="P276" s="36" t="s">
        <v>12</v>
      </c>
    </row>
    <row r="277" spans="1:16" s="8" customFormat="1" ht="16" customHeight="1">
      <c r="A277" s="35" t="s">
        <v>97</v>
      </c>
      <c r="B277" s="23" t="s">
        <v>1330</v>
      </c>
      <c r="C277" s="24" t="s">
        <v>1139</v>
      </c>
      <c r="D277" s="24" t="s">
        <v>533</v>
      </c>
      <c r="E277" s="24" t="s">
        <v>534</v>
      </c>
      <c r="F277" s="23">
        <v>9</v>
      </c>
      <c r="G277" s="23" t="s">
        <v>979</v>
      </c>
      <c r="H277" s="23">
        <v>9</v>
      </c>
      <c r="I277" s="23" t="s">
        <v>979</v>
      </c>
      <c r="J277" s="25" t="b">
        <v>0</v>
      </c>
      <c r="K277" s="25" t="b">
        <v>0</v>
      </c>
      <c r="L277" s="23">
        <v>1</v>
      </c>
      <c r="M277" s="23" t="s">
        <v>17</v>
      </c>
      <c r="N277" s="23" t="s">
        <v>17</v>
      </c>
      <c r="O277" s="23" t="s">
        <v>12</v>
      </c>
      <c r="P277" s="36" t="s">
        <v>12</v>
      </c>
    </row>
    <row r="278" spans="1:16" s="8" customFormat="1" ht="16" customHeight="1">
      <c r="A278" s="35" t="s">
        <v>99</v>
      </c>
      <c r="B278" s="23" t="s">
        <v>1330</v>
      </c>
      <c r="C278" s="24" t="s">
        <v>1140</v>
      </c>
      <c r="D278" s="24" t="s">
        <v>522</v>
      </c>
      <c r="E278" s="24" t="s">
        <v>523</v>
      </c>
      <c r="F278" s="23">
        <v>7</v>
      </c>
      <c r="G278" s="23" t="s">
        <v>642</v>
      </c>
      <c r="H278" s="23">
        <v>7</v>
      </c>
      <c r="I278" s="23" t="s">
        <v>584</v>
      </c>
      <c r="J278" s="25" t="b">
        <v>0</v>
      </c>
      <c r="K278" s="25" t="b">
        <v>0</v>
      </c>
      <c r="L278" s="23">
        <v>1</v>
      </c>
      <c r="M278" s="23" t="s">
        <v>17</v>
      </c>
      <c r="N278" s="23" t="s">
        <v>17</v>
      </c>
      <c r="O278" s="23" t="s">
        <v>12</v>
      </c>
      <c r="P278" s="36" t="s">
        <v>12</v>
      </c>
    </row>
    <row r="279" spans="1:16" s="8" customFormat="1" ht="16" customHeight="1">
      <c r="A279" s="35" t="s">
        <v>106</v>
      </c>
      <c r="B279" s="23" t="s">
        <v>1330</v>
      </c>
      <c r="C279" s="24" t="s">
        <v>1141</v>
      </c>
      <c r="D279" s="24" t="s">
        <v>384</v>
      </c>
      <c r="E279" s="24" t="s">
        <v>385</v>
      </c>
      <c r="F279" s="23">
        <v>19</v>
      </c>
      <c r="G279" s="23" t="s">
        <v>643</v>
      </c>
      <c r="H279" s="23">
        <v>19</v>
      </c>
      <c r="I279" s="23" t="s">
        <v>1055</v>
      </c>
      <c r="J279" s="25" t="b">
        <v>0</v>
      </c>
      <c r="K279" s="25" t="b">
        <v>0</v>
      </c>
      <c r="L279" s="23">
        <v>1</v>
      </c>
      <c r="M279" s="23" t="s">
        <v>17</v>
      </c>
      <c r="N279" s="23" t="s">
        <v>17</v>
      </c>
      <c r="O279" s="23" t="s">
        <v>12</v>
      </c>
      <c r="P279" s="36" t="s">
        <v>12</v>
      </c>
    </row>
    <row r="280" spans="1:16" s="8" customFormat="1" ht="16" customHeight="1">
      <c r="A280" s="35" t="s">
        <v>106</v>
      </c>
      <c r="B280" s="23" t="s">
        <v>1330</v>
      </c>
      <c r="C280" s="24" t="s">
        <v>1143</v>
      </c>
      <c r="D280" s="24" t="s">
        <v>388</v>
      </c>
      <c r="E280" s="24" t="s">
        <v>389</v>
      </c>
      <c r="F280" s="23">
        <v>19</v>
      </c>
      <c r="G280" s="23" t="s">
        <v>1106</v>
      </c>
      <c r="H280" s="23">
        <v>7</v>
      </c>
      <c r="I280" s="23" t="s">
        <v>813</v>
      </c>
      <c r="J280" s="25" t="b">
        <v>1</v>
      </c>
      <c r="K280" s="25" t="b">
        <v>0</v>
      </c>
      <c r="L280" s="23">
        <v>1</v>
      </c>
      <c r="M280" s="23" t="s">
        <v>17</v>
      </c>
      <c r="N280" s="23" t="s">
        <v>17</v>
      </c>
      <c r="O280" s="23" t="s">
        <v>12</v>
      </c>
      <c r="P280" s="36" t="s">
        <v>12</v>
      </c>
    </row>
    <row r="281" spans="1:16" s="8" customFormat="1" ht="16" customHeight="1">
      <c r="A281" s="35" t="s">
        <v>106</v>
      </c>
      <c r="B281" s="23" t="s">
        <v>1330</v>
      </c>
      <c r="C281" s="24" t="s">
        <v>1144</v>
      </c>
      <c r="D281" s="24" t="s">
        <v>512</v>
      </c>
      <c r="E281" s="24" t="s">
        <v>513</v>
      </c>
      <c r="F281" s="23">
        <v>7</v>
      </c>
      <c r="G281" s="23" t="s">
        <v>1094</v>
      </c>
      <c r="H281" s="23">
        <v>7</v>
      </c>
      <c r="I281" s="23" t="s">
        <v>813</v>
      </c>
      <c r="J281" s="25" t="b">
        <v>0</v>
      </c>
      <c r="K281" s="25" t="b">
        <v>0</v>
      </c>
      <c r="L281" s="23">
        <v>1</v>
      </c>
      <c r="M281" s="23" t="s">
        <v>17</v>
      </c>
      <c r="N281" s="23" t="s">
        <v>17</v>
      </c>
      <c r="O281" s="23" t="s">
        <v>12</v>
      </c>
      <c r="P281" s="36" t="s">
        <v>12</v>
      </c>
    </row>
    <row r="282" spans="1:16" s="8" customFormat="1" ht="16" customHeight="1">
      <c r="A282" s="35" t="s">
        <v>106</v>
      </c>
      <c r="B282" s="23" t="s">
        <v>1330</v>
      </c>
      <c r="C282" s="24" t="s">
        <v>1142</v>
      </c>
      <c r="D282" s="24" t="s">
        <v>527</v>
      </c>
      <c r="E282" s="24" t="s">
        <v>528</v>
      </c>
      <c r="F282" s="23">
        <v>7</v>
      </c>
      <c r="G282" s="23" t="s">
        <v>751</v>
      </c>
      <c r="H282" s="23">
        <v>19</v>
      </c>
      <c r="I282" s="23" t="s">
        <v>1055</v>
      </c>
      <c r="J282" s="25" t="b">
        <v>0</v>
      </c>
      <c r="K282" s="25" t="b">
        <v>0</v>
      </c>
      <c r="L282" s="23">
        <v>1</v>
      </c>
      <c r="M282" s="23" t="s">
        <v>17</v>
      </c>
      <c r="N282" s="23" t="s">
        <v>17</v>
      </c>
      <c r="O282" s="23" t="s">
        <v>12</v>
      </c>
      <c r="P282" s="36" t="s">
        <v>12</v>
      </c>
    </row>
    <row r="283" spans="1:16" s="8" customFormat="1" ht="16" customHeight="1">
      <c r="A283" s="35" t="s">
        <v>113</v>
      </c>
      <c r="B283" s="23" t="s">
        <v>1330</v>
      </c>
      <c r="C283" s="24" t="s">
        <v>1145</v>
      </c>
      <c r="D283" s="24" t="s">
        <v>191</v>
      </c>
      <c r="E283" s="24" t="s">
        <v>192</v>
      </c>
      <c r="F283" s="23">
        <v>1</v>
      </c>
      <c r="G283" s="23" t="s">
        <v>1061</v>
      </c>
      <c r="H283" s="23">
        <v>1</v>
      </c>
      <c r="I283" s="23" t="s">
        <v>1061</v>
      </c>
      <c r="J283" s="25" t="b">
        <v>0</v>
      </c>
      <c r="K283" s="25" t="b">
        <v>0</v>
      </c>
      <c r="L283" s="23">
        <v>1</v>
      </c>
      <c r="M283" s="23" t="s">
        <v>17</v>
      </c>
      <c r="N283" s="23" t="s">
        <v>17</v>
      </c>
      <c r="O283" s="23" t="s">
        <v>12</v>
      </c>
      <c r="P283" s="36" t="s">
        <v>12</v>
      </c>
    </row>
    <row r="284" spans="1:16" s="8" customFormat="1" ht="16" customHeight="1">
      <c r="A284" s="35" t="s">
        <v>113</v>
      </c>
      <c r="B284" s="23" t="s">
        <v>1330</v>
      </c>
      <c r="C284" s="24" t="s">
        <v>1146</v>
      </c>
      <c r="D284" s="24" t="s">
        <v>262</v>
      </c>
      <c r="E284" s="24" t="s">
        <v>263</v>
      </c>
      <c r="F284" s="23">
        <v>12</v>
      </c>
      <c r="G284" s="23" t="s">
        <v>619</v>
      </c>
      <c r="H284" s="23">
        <v>12</v>
      </c>
      <c r="I284" s="23" t="s">
        <v>605</v>
      </c>
      <c r="J284" s="25" t="b">
        <v>0</v>
      </c>
      <c r="K284" s="25" t="b">
        <v>1</v>
      </c>
      <c r="L284" s="23">
        <v>1</v>
      </c>
      <c r="M284" s="23" t="s">
        <v>17</v>
      </c>
      <c r="N284" s="23" t="s">
        <v>17</v>
      </c>
      <c r="O284" s="23" t="s">
        <v>12</v>
      </c>
      <c r="P284" s="36" t="s">
        <v>12</v>
      </c>
    </row>
    <row r="285" spans="1:16" s="8" customFormat="1" ht="16" customHeight="1">
      <c r="A285" s="35" t="s">
        <v>113</v>
      </c>
      <c r="B285" s="23" t="s">
        <v>1330</v>
      </c>
      <c r="C285" s="24" t="s">
        <v>1147</v>
      </c>
      <c r="D285" s="24" t="s">
        <v>347</v>
      </c>
      <c r="E285" s="24" t="s">
        <v>348</v>
      </c>
      <c r="F285" s="23">
        <v>16</v>
      </c>
      <c r="G285" s="23" t="s">
        <v>1102</v>
      </c>
      <c r="H285" s="23">
        <v>16</v>
      </c>
      <c r="I285" s="23" t="s">
        <v>1102</v>
      </c>
      <c r="J285" s="25" t="b">
        <v>0</v>
      </c>
      <c r="K285" s="25" t="b">
        <v>0</v>
      </c>
      <c r="L285" s="23">
        <v>1</v>
      </c>
      <c r="M285" s="23" t="s">
        <v>17</v>
      </c>
      <c r="N285" s="23" t="s">
        <v>17</v>
      </c>
      <c r="O285" s="23" t="s">
        <v>12</v>
      </c>
      <c r="P285" s="36" t="s">
        <v>12</v>
      </c>
    </row>
    <row r="286" spans="1:16" s="8" customFormat="1" ht="16" customHeight="1">
      <c r="A286" s="35" t="s">
        <v>113</v>
      </c>
      <c r="B286" s="23" t="s">
        <v>1330</v>
      </c>
      <c r="C286" s="24" t="s">
        <v>1159</v>
      </c>
      <c r="D286" s="24" t="s">
        <v>152</v>
      </c>
      <c r="E286" s="24" t="s">
        <v>493</v>
      </c>
      <c r="F286" s="23">
        <v>6</v>
      </c>
      <c r="G286" s="23" t="s">
        <v>959</v>
      </c>
      <c r="H286" s="23">
        <v>11</v>
      </c>
      <c r="I286" s="23" t="s">
        <v>1067</v>
      </c>
      <c r="J286" s="25" t="b">
        <v>0</v>
      </c>
      <c r="K286" s="25" t="b">
        <v>0</v>
      </c>
      <c r="L286" s="23">
        <v>1</v>
      </c>
      <c r="M286" s="23" t="s">
        <v>17</v>
      </c>
      <c r="N286" s="23" t="s">
        <v>17</v>
      </c>
      <c r="O286" s="23" t="s">
        <v>12</v>
      </c>
      <c r="P286" s="36" t="s">
        <v>12</v>
      </c>
    </row>
    <row r="287" spans="1:16" s="8" customFormat="1" ht="16" customHeight="1">
      <c r="A287" s="35" t="s">
        <v>90</v>
      </c>
      <c r="B287" s="23" t="s">
        <v>1330</v>
      </c>
      <c r="C287" s="24" t="s">
        <v>1165</v>
      </c>
      <c r="D287" s="24" t="s">
        <v>168</v>
      </c>
      <c r="E287" s="24" t="s">
        <v>169</v>
      </c>
      <c r="F287" s="23">
        <v>1</v>
      </c>
      <c r="G287" s="23" t="s">
        <v>1050</v>
      </c>
      <c r="H287" s="23">
        <v>1</v>
      </c>
      <c r="I287" s="23" t="s">
        <v>1050</v>
      </c>
      <c r="J287" s="25" t="b">
        <v>0</v>
      </c>
      <c r="K287" s="25" t="b">
        <v>0</v>
      </c>
      <c r="L287" s="23">
        <v>1</v>
      </c>
      <c r="M287" s="23" t="s">
        <v>17</v>
      </c>
      <c r="N287" s="23" t="s">
        <v>17</v>
      </c>
      <c r="O287" s="23" t="s">
        <v>12</v>
      </c>
      <c r="P287" s="36" t="s">
        <v>13</v>
      </c>
    </row>
    <row r="288" spans="1:16" s="8" customFormat="1" ht="16" customHeight="1">
      <c r="A288" s="35" t="s">
        <v>102</v>
      </c>
      <c r="B288" s="23" t="s">
        <v>1330</v>
      </c>
      <c r="C288" s="24" t="s">
        <v>1166</v>
      </c>
      <c r="D288" s="24" t="s">
        <v>150</v>
      </c>
      <c r="E288" s="24" t="s">
        <v>207</v>
      </c>
      <c r="F288" s="23">
        <v>1</v>
      </c>
      <c r="G288" s="23" t="s">
        <v>596</v>
      </c>
      <c r="H288" s="23">
        <v>1</v>
      </c>
      <c r="I288" s="23" t="s">
        <v>1082</v>
      </c>
      <c r="J288" s="25" t="b">
        <v>0</v>
      </c>
      <c r="K288" s="25" t="b">
        <v>0</v>
      </c>
      <c r="L288" s="23">
        <v>1</v>
      </c>
      <c r="M288" s="23" t="s">
        <v>17</v>
      </c>
      <c r="N288" s="23" t="s">
        <v>17</v>
      </c>
      <c r="O288" s="23" t="s">
        <v>12</v>
      </c>
      <c r="P288" s="36" t="s">
        <v>13</v>
      </c>
    </row>
    <row r="289" spans="1:16" s="8" customFormat="1" ht="16" customHeight="1">
      <c r="A289" s="35" t="s">
        <v>54</v>
      </c>
      <c r="B289" s="23" t="s">
        <v>1330</v>
      </c>
      <c r="C289" s="24" t="s">
        <v>1167</v>
      </c>
      <c r="D289" s="24" t="s">
        <v>189</v>
      </c>
      <c r="E289" s="24" t="s">
        <v>190</v>
      </c>
      <c r="F289" s="23">
        <v>1</v>
      </c>
      <c r="G289" s="23" t="s">
        <v>957</v>
      </c>
      <c r="H289" s="23">
        <v>1</v>
      </c>
      <c r="I289" s="23" t="s">
        <v>588</v>
      </c>
      <c r="J289" s="25" t="b">
        <v>0</v>
      </c>
      <c r="K289" s="25" t="b">
        <v>0</v>
      </c>
      <c r="L289" s="23">
        <v>1</v>
      </c>
      <c r="M289" s="23" t="s">
        <v>17</v>
      </c>
      <c r="N289" s="23" t="s">
        <v>17</v>
      </c>
      <c r="O289" s="23" t="s">
        <v>12</v>
      </c>
      <c r="P289" s="36" t="s">
        <v>13</v>
      </c>
    </row>
    <row r="290" spans="1:16" s="8" customFormat="1" ht="16" customHeight="1">
      <c r="A290" s="35" t="s">
        <v>81</v>
      </c>
      <c r="B290" s="23" t="s">
        <v>1330</v>
      </c>
      <c r="C290" s="24" t="s">
        <v>1168</v>
      </c>
      <c r="D290" s="24" t="s">
        <v>196</v>
      </c>
      <c r="E290" s="24" t="s">
        <v>197</v>
      </c>
      <c r="F290" s="23">
        <v>1</v>
      </c>
      <c r="G290" s="23" t="s">
        <v>588</v>
      </c>
      <c r="H290" s="23">
        <v>1</v>
      </c>
      <c r="I290" s="23" t="s">
        <v>588</v>
      </c>
      <c r="J290" s="25" t="b">
        <v>0</v>
      </c>
      <c r="K290" s="25" t="b">
        <v>0</v>
      </c>
      <c r="L290" s="23">
        <v>1</v>
      </c>
      <c r="M290" s="23" t="s">
        <v>17</v>
      </c>
      <c r="N290" s="23" t="s">
        <v>17</v>
      </c>
      <c r="O290" s="23" t="s">
        <v>12</v>
      </c>
      <c r="P290" s="36" t="s">
        <v>13</v>
      </c>
    </row>
    <row r="291" spans="1:16" s="8" customFormat="1" ht="16" customHeight="1">
      <c r="A291" s="35" t="s">
        <v>73</v>
      </c>
      <c r="B291" s="23" t="s">
        <v>1330</v>
      </c>
      <c r="C291" s="24" t="s">
        <v>1169</v>
      </c>
      <c r="D291" s="24" t="s">
        <v>188</v>
      </c>
      <c r="E291" s="24" t="s">
        <v>162</v>
      </c>
      <c r="F291" s="23">
        <v>1</v>
      </c>
      <c r="G291" s="23" t="s">
        <v>1076</v>
      </c>
      <c r="H291" s="23">
        <v>1</v>
      </c>
      <c r="I291" s="23" t="s">
        <v>1076</v>
      </c>
      <c r="J291" s="25" t="b">
        <v>0</v>
      </c>
      <c r="K291" s="25" t="b">
        <v>1</v>
      </c>
      <c r="L291" s="23">
        <v>1</v>
      </c>
      <c r="M291" s="23" t="s">
        <v>17</v>
      </c>
      <c r="N291" s="23" t="s">
        <v>17</v>
      </c>
      <c r="O291" s="23" t="s">
        <v>12</v>
      </c>
      <c r="P291" s="36" t="s">
        <v>13</v>
      </c>
    </row>
    <row r="292" spans="1:16" s="8" customFormat="1" ht="16" customHeight="1">
      <c r="A292" s="35" t="s">
        <v>34</v>
      </c>
      <c r="B292" s="23" t="s">
        <v>1330</v>
      </c>
      <c r="C292" s="24" t="s">
        <v>1170</v>
      </c>
      <c r="D292" s="24" t="s">
        <v>194</v>
      </c>
      <c r="E292" s="24" t="s">
        <v>195</v>
      </c>
      <c r="F292" s="23">
        <v>1</v>
      </c>
      <c r="G292" s="23" t="s">
        <v>737</v>
      </c>
      <c r="H292" s="23">
        <v>1</v>
      </c>
      <c r="I292" s="23" t="s">
        <v>1065</v>
      </c>
      <c r="J292" s="25" t="b">
        <v>0</v>
      </c>
      <c r="K292" s="25" t="b">
        <v>1</v>
      </c>
      <c r="L292" s="23">
        <v>1</v>
      </c>
      <c r="M292" s="23" t="s">
        <v>17</v>
      </c>
      <c r="N292" s="23" t="s">
        <v>17</v>
      </c>
      <c r="O292" s="23" t="s">
        <v>12</v>
      </c>
      <c r="P292" s="36" t="s">
        <v>13</v>
      </c>
    </row>
    <row r="293" spans="1:16" s="8" customFormat="1" ht="16" customHeight="1">
      <c r="A293" s="35" t="s">
        <v>109</v>
      </c>
      <c r="B293" s="23" t="s">
        <v>1330</v>
      </c>
      <c r="C293" s="24" t="s">
        <v>1164</v>
      </c>
      <c r="D293" s="24" t="s">
        <v>198</v>
      </c>
      <c r="E293" s="24" t="s">
        <v>195</v>
      </c>
      <c r="F293" s="23">
        <v>1</v>
      </c>
      <c r="G293" s="23" t="s">
        <v>737</v>
      </c>
      <c r="H293" s="23">
        <v>1</v>
      </c>
      <c r="I293" s="23" t="s">
        <v>1065</v>
      </c>
      <c r="J293" s="25" t="b">
        <v>0</v>
      </c>
      <c r="K293" s="25" t="b">
        <v>1</v>
      </c>
      <c r="L293" s="23">
        <v>1</v>
      </c>
      <c r="M293" s="23" t="s">
        <v>17</v>
      </c>
      <c r="N293" s="23" t="s">
        <v>17</v>
      </c>
      <c r="O293" s="23" t="s">
        <v>12</v>
      </c>
      <c r="P293" s="36" t="s">
        <v>13</v>
      </c>
    </row>
    <row r="294" spans="1:16" s="8" customFormat="1" ht="16" customHeight="1">
      <c r="A294" s="35" t="s">
        <v>93</v>
      </c>
      <c r="B294" s="23" t="s">
        <v>1330</v>
      </c>
      <c r="C294" s="24" t="s">
        <v>1293</v>
      </c>
      <c r="D294" s="24" t="s">
        <v>218</v>
      </c>
      <c r="E294" s="24" t="s">
        <v>219</v>
      </c>
      <c r="F294" s="23">
        <v>1</v>
      </c>
      <c r="G294" s="23" t="s">
        <v>737</v>
      </c>
      <c r="H294" s="23">
        <v>5</v>
      </c>
      <c r="I294" s="23" t="s">
        <v>619</v>
      </c>
      <c r="J294" s="25" t="b">
        <v>0</v>
      </c>
      <c r="K294" s="25" t="b">
        <v>0</v>
      </c>
      <c r="L294" s="23">
        <v>1</v>
      </c>
      <c r="M294" s="23" t="s">
        <v>17</v>
      </c>
      <c r="N294" s="23" t="s">
        <v>17</v>
      </c>
      <c r="O294" s="23" t="s">
        <v>12</v>
      </c>
      <c r="P294" s="36" t="s">
        <v>13</v>
      </c>
    </row>
    <row r="295" spans="1:16" s="8" customFormat="1" ht="16" customHeight="1">
      <c r="A295" s="35" t="s">
        <v>101</v>
      </c>
      <c r="B295" s="23" t="s">
        <v>1330</v>
      </c>
      <c r="C295" s="24" t="s">
        <v>1163</v>
      </c>
      <c r="D295" s="24" t="s">
        <v>141</v>
      </c>
      <c r="E295" s="24" t="s">
        <v>143</v>
      </c>
      <c r="F295" s="23">
        <v>1</v>
      </c>
      <c r="G295" s="23" t="s">
        <v>713</v>
      </c>
      <c r="H295" s="23">
        <v>1</v>
      </c>
      <c r="I295" s="23" t="s">
        <v>713</v>
      </c>
      <c r="J295" s="25" t="b">
        <v>0</v>
      </c>
      <c r="K295" s="25" t="b">
        <v>0</v>
      </c>
      <c r="L295" s="23">
        <v>1</v>
      </c>
      <c r="M295" s="23" t="s">
        <v>17</v>
      </c>
      <c r="N295" s="23" t="s">
        <v>17</v>
      </c>
      <c r="O295" s="23" t="s">
        <v>12</v>
      </c>
      <c r="P295" s="36" t="s">
        <v>13</v>
      </c>
    </row>
    <row r="296" spans="1:16" s="8" customFormat="1" ht="16" customHeight="1">
      <c r="A296" s="35" t="s">
        <v>72</v>
      </c>
      <c r="B296" s="23" t="s">
        <v>1330</v>
      </c>
      <c r="C296" s="24" t="s">
        <v>1246</v>
      </c>
      <c r="D296" s="24" t="s">
        <v>220</v>
      </c>
      <c r="E296" s="24" t="s">
        <v>221</v>
      </c>
      <c r="F296" s="23">
        <v>1</v>
      </c>
      <c r="G296" s="23" t="s">
        <v>584</v>
      </c>
      <c r="H296" s="23">
        <v>17</v>
      </c>
      <c r="I296" s="23" t="s">
        <v>636</v>
      </c>
      <c r="J296" s="25" t="b">
        <v>0</v>
      </c>
      <c r="K296" s="25" t="b">
        <v>0</v>
      </c>
      <c r="L296" s="23">
        <v>1</v>
      </c>
      <c r="M296" s="23" t="s">
        <v>17</v>
      </c>
      <c r="N296" s="23" t="s">
        <v>17</v>
      </c>
      <c r="O296" s="23" t="s">
        <v>12</v>
      </c>
      <c r="P296" s="36" t="s">
        <v>13</v>
      </c>
    </row>
    <row r="297" spans="1:16" s="8" customFormat="1" ht="16" customHeight="1">
      <c r="A297" s="35" t="s">
        <v>107</v>
      </c>
      <c r="B297" s="23" t="s">
        <v>1330</v>
      </c>
      <c r="C297" s="24" t="s">
        <v>1260</v>
      </c>
      <c r="D297" s="24" t="s">
        <v>224</v>
      </c>
      <c r="E297" s="24" t="s">
        <v>225</v>
      </c>
      <c r="F297" s="23">
        <v>1</v>
      </c>
      <c r="G297" s="23" t="s">
        <v>588</v>
      </c>
      <c r="H297" s="23">
        <v>2</v>
      </c>
      <c r="I297" s="23" t="s">
        <v>1084</v>
      </c>
      <c r="J297" s="25" t="b">
        <v>0</v>
      </c>
      <c r="K297" s="25" t="b">
        <v>0</v>
      </c>
      <c r="L297" s="23">
        <v>1</v>
      </c>
      <c r="M297" s="23" t="s">
        <v>17</v>
      </c>
      <c r="N297" s="23" t="s">
        <v>17</v>
      </c>
      <c r="O297" s="23" t="s">
        <v>12</v>
      </c>
      <c r="P297" s="36" t="s">
        <v>13</v>
      </c>
    </row>
    <row r="298" spans="1:16" s="8" customFormat="1" ht="16" customHeight="1">
      <c r="A298" s="35" t="s">
        <v>79</v>
      </c>
      <c r="B298" s="23" t="s">
        <v>1330</v>
      </c>
      <c r="C298" s="24" t="s">
        <v>1237</v>
      </c>
      <c r="D298" s="24" t="s">
        <v>213</v>
      </c>
      <c r="E298" s="24" t="s">
        <v>214</v>
      </c>
      <c r="F298" s="23">
        <v>1</v>
      </c>
      <c r="G298" s="23" t="s">
        <v>1101</v>
      </c>
      <c r="H298" s="23">
        <v>16</v>
      </c>
      <c r="I298" s="23" t="s">
        <v>670</v>
      </c>
      <c r="J298" s="25" t="b">
        <v>0</v>
      </c>
      <c r="K298" s="25" t="b">
        <v>0</v>
      </c>
      <c r="L298" s="23">
        <v>1</v>
      </c>
      <c r="M298" s="23" t="s">
        <v>17</v>
      </c>
      <c r="N298" s="23" t="s">
        <v>17</v>
      </c>
      <c r="O298" s="23" t="s">
        <v>12</v>
      </c>
      <c r="P298" s="36" t="s">
        <v>13</v>
      </c>
    </row>
    <row r="299" spans="1:16" s="8" customFormat="1" ht="16" customHeight="1">
      <c r="A299" s="35" t="s">
        <v>92</v>
      </c>
      <c r="B299" s="23" t="s">
        <v>1330</v>
      </c>
      <c r="C299" s="24" t="s">
        <v>1171</v>
      </c>
      <c r="D299" s="24" t="s">
        <v>179</v>
      </c>
      <c r="E299" s="24" t="s">
        <v>180</v>
      </c>
      <c r="F299" s="23">
        <v>1</v>
      </c>
      <c r="G299" s="23" t="s">
        <v>584</v>
      </c>
      <c r="H299" s="23">
        <v>1</v>
      </c>
      <c r="I299" s="23" t="s">
        <v>584</v>
      </c>
      <c r="J299" s="25" t="b">
        <v>1</v>
      </c>
      <c r="K299" s="25" t="b">
        <v>1</v>
      </c>
      <c r="L299" s="23">
        <v>1</v>
      </c>
      <c r="M299" s="23" t="s">
        <v>17</v>
      </c>
      <c r="N299" s="23" t="s">
        <v>17</v>
      </c>
      <c r="O299" s="23" t="s">
        <v>12</v>
      </c>
      <c r="P299" s="36" t="s">
        <v>13</v>
      </c>
    </row>
    <row r="300" spans="1:16" s="8" customFormat="1" ht="16" customHeight="1">
      <c r="A300" s="35" t="s">
        <v>70</v>
      </c>
      <c r="B300" s="23" t="s">
        <v>1330</v>
      </c>
      <c r="C300" s="24" t="s">
        <v>1172</v>
      </c>
      <c r="D300" s="24" t="s">
        <v>167</v>
      </c>
      <c r="E300" s="24" t="s">
        <v>202</v>
      </c>
      <c r="F300" s="23">
        <v>1</v>
      </c>
      <c r="G300" s="23" t="s">
        <v>737</v>
      </c>
      <c r="H300" s="23">
        <v>1</v>
      </c>
      <c r="I300" s="23" t="s">
        <v>1100</v>
      </c>
      <c r="J300" s="25" t="b">
        <v>1</v>
      </c>
      <c r="K300" s="25" t="b">
        <v>0</v>
      </c>
      <c r="L300" s="23">
        <v>1</v>
      </c>
      <c r="M300" s="23" t="s">
        <v>17</v>
      </c>
      <c r="N300" s="23" t="s">
        <v>17</v>
      </c>
      <c r="O300" s="23" t="s">
        <v>12</v>
      </c>
      <c r="P300" s="36" t="s">
        <v>13</v>
      </c>
    </row>
    <row r="301" spans="1:16" s="8" customFormat="1" ht="16" customHeight="1">
      <c r="A301" s="35" t="s">
        <v>81</v>
      </c>
      <c r="B301" s="23" t="s">
        <v>1330</v>
      </c>
      <c r="C301" s="24" t="s">
        <v>1173</v>
      </c>
      <c r="D301" s="24" t="s">
        <v>205</v>
      </c>
      <c r="E301" s="24" t="s">
        <v>206</v>
      </c>
      <c r="F301" s="23">
        <v>1</v>
      </c>
      <c r="G301" s="23" t="s">
        <v>738</v>
      </c>
      <c r="H301" s="23">
        <v>1</v>
      </c>
      <c r="I301" s="23" t="s">
        <v>1000</v>
      </c>
      <c r="J301" s="25" t="b">
        <v>0</v>
      </c>
      <c r="K301" s="25" t="b">
        <v>0</v>
      </c>
      <c r="L301" s="23">
        <v>1</v>
      </c>
      <c r="M301" s="23" t="s">
        <v>17</v>
      </c>
      <c r="N301" s="23" t="s">
        <v>17</v>
      </c>
      <c r="O301" s="23" t="s">
        <v>12</v>
      </c>
      <c r="P301" s="36" t="s">
        <v>13</v>
      </c>
    </row>
    <row r="302" spans="1:16" s="8" customFormat="1" ht="16" customHeight="1">
      <c r="A302" s="35" t="s">
        <v>93</v>
      </c>
      <c r="B302" s="23" t="s">
        <v>1330</v>
      </c>
      <c r="C302" s="24" t="s">
        <v>1174</v>
      </c>
      <c r="D302" s="24" t="s">
        <v>156</v>
      </c>
      <c r="E302" s="24" t="s">
        <v>201</v>
      </c>
      <c r="F302" s="23">
        <v>1</v>
      </c>
      <c r="G302" s="23" t="s">
        <v>596</v>
      </c>
      <c r="H302" s="23">
        <v>1</v>
      </c>
      <c r="I302" s="23" t="s">
        <v>737</v>
      </c>
      <c r="J302" s="25" t="b">
        <v>0</v>
      </c>
      <c r="K302" s="25" t="b">
        <v>0</v>
      </c>
      <c r="L302" s="23">
        <v>1</v>
      </c>
      <c r="M302" s="23" t="s">
        <v>17</v>
      </c>
      <c r="N302" s="23" t="s">
        <v>17</v>
      </c>
      <c r="O302" s="23" t="s">
        <v>12</v>
      </c>
      <c r="P302" s="36" t="s">
        <v>13</v>
      </c>
    </row>
    <row r="303" spans="1:16" s="8" customFormat="1" ht="16" customHeight="1">
      <c r="A303" s="35" t="s">
        <v>81</v>
      </c>
      <c r="B303" s="23" t="s">
        <v>1330</v>
      </c>
      <c r="C303" s="24" t="s">
        <v>1175</v>
      </c>
      <c r="D303" s="24" t="s">
        <v>170</v>
      </c>
      <c r="E303" s="24" t="s">
        <v>171</v>
      </c>
      <c r="F303" s="23">
        <v>1</v>
      </c>
      <c r="G303" s="23" t="s">
        <v>584</v>
      </c>
      <c r="H303" s="23">
        <v>1</v>
      </c>
      <c r="I303" s="23" t="s">
        <v>584</v>
      </c>
      <c r="J303" s="25" t="b">
        <v>0</v>
      </c>
      <c r="K303" s="25" t="b">
        <v>0</v>
      </c>
      <c r="L303" s="23">
        <v>1</v>
      </c>
      <c r="M303" s="23" t="s">
        <v>17</v>
      </c>
      <c r="N303" s="23" t="s">
        <v>17</v>
      </c>
      <c r="O303" s="23" t="s">
        <v>12</v>
      </c>
      <c r="P303" s="36" t="s">
        <v>13</v>
      </c>
    </row>
    <row r="304" spans="1:16" s="8" customFormat="1" ht="16" customHeight="1">
      <c r="A304" s="35" t="s">
        <v>35</v>
      </c>
      <c r="B304" s="23" t="s">
        <v>1330</v>
      </c>
      <c r="C304" s="24" t="s">
        <v>1176</v>
      </c>
      <c r="D304" s="24" t="s">
        <v>179</v>
      </c>
      <c r="E304" s="24" t="s">
        <v>193</v>
      </c>
      <c r="F304" s="23">
        <v>1</v>
      </c>
      <c r="G304" s="23" t="s">
        <v>584</v>
      </c>
      <c r="H304" s="23">
        <v>1</v>
      </c>
      <c r="I304" s="23" t="s">
        <v>584</v>
      </c>
      <c r="J304" s="25" t="b">
        <v>1</v>
      </c>
      <c r="K304" s="25" t="b">
        <v>0</v>
      </c>
      <c r="L304" s="23">
        <v>1</v>
      </c>
      <c r="M304" s="23" t="s">
        <v>17</v>
      </c>
      <c r="N304" s="23" t="s">
        <v>17</v>
      </c>
      <c r="O304" s="23" t="s">
        <v>12</v>
      </c>
      <c r="P304" s="36" t="s">
        <v>13</v>
      </c>
    </row>
    <row r="305" spans="1:16" s="8" customFormat="1" ht="16" customHeight="1">
      <c r="A305" s="35" t="s">
        <v>57</v>
      </c>
      <c r="B305" s="23" t="s">
        <v>1330</v>
      </c>
      <c r="C305" s="24" t="s">
        <v>1160</v>
      </c>
      <c r="D305" s="24" t="s">
        <v>210</v>
      </c>
      <c r="E305" s="24" t="s">
        <v>211</v>
      </c>
      <c r="F305" s="23">
        <v>1</v>
      </c>
      <c r="G305" s="23" t="s">
        <v>737</v>
      </c>
      <c r="H305" s="23">
        <v>1</v>
      </c>
      <c r="I305" s="23" t="s">
        <v>1050</v>
      </c>
      <c r="J305" s="25" t="b">
        <v>0</v>
      </c>
      <c r="K305" s="25" t="b">
        <v>0</v>
      </c>
      <c r="L305" s="23">
        <v>1</v>
      </c>
      <c r="M305" s="23" t="s">
        <v>17</v>
      </c>
      <c r="N305" s="23" t="s">
        <v>17</v>
      </c>
      <c r="O305" s="23" t="s">
        <v>12</v>
      </c>
      <c r="P305" s="36" t="s">
        <v>13</v>
      </c>
    </row>
    <row r="306" spans="1:16" s="8" customFormat="1" ht="16" customHeight="1">
      <c r="A306" s="35" t="s">
        <v>81</v>
      </c>
      <c r="B306" s="23" t="s">
        <v>1330</v>
      </c>
      <c r="C306" s="24" t="s">
        <v>1177</v>
      </c>
      <c r="D306" s="24" t="s">
        <v>162</v>
      </c>
      <c r="E306" s="24" t="s">
        <v>163</v>
      </c>
      <c r="F306" s="23">
        <v>1</v>
      </c>
      <c r="G306" s="23" t="s">
        <v>1076</v>
      </c>
      <c r="H306" s="23">
        <v>1</v>
      </c>
      <c r="I306" s="23" t="s">
        <v>1076</v>
      </c>
      <c r="J306" s="25" t="b">
        <v>1</v>
      </c>
      <c r="K306" s="25" t="b">
        <v>0</v>
      </c>
      <c r="L306" s="23">
        <v>1</v>
      </c>
      <c r="M306" s="23" t="s">
        <v>17</v>
      </c>
      <c r="N306" s="23" t="s">
        <v>17</v>
      </c>
      <c r="O306" s="23" t="s">
        <v>12</v>
      </c>
      <c r="P306" s="36" t="s">
        <v>13</v>
      </c>
    </row>
    <row r="307" spans="1:16" s="8" customFormat="1" ht="16" customHeight="1">
      <c r="A307" s="35" t="s">
        <v>93</v>
      </c>
      <c r="B307" s="23" t="s">
        <v>1330</v>
      </c>
      <c r="C307" s="24" t="s">
        <v>1178</v>
      </c>
      <c r="D307" s="24" t="s">
        <v>174</v>
      </c>
      <c r="E307" s="24" t="s">
        <v>175</v>
      </c>
      <c r="F307" s="23">
        <v>1</v>
      </c>
      <c r="G307" s="23" t="s">
        <v>1040</v>
      </c>
      <c r="H307" s="23">
        <v>1</v>
      </c>
      <c r="I307" s="23" t="s">
        <v>1040</v>
      </c>
      <c r="J307" s="25" t="b">
        <v>0</v>
      </c>
      <c r="K307" s="25" t="b">
        <v>0</v>
      </c>
      <c r="L307" s="23">
        <v>1</v>
      </c>
      <c r="M307" s="23" t="s">
        <v>17</v>
      </c>
      <c r="N307" s="23" t="s">
        <v>17</v>
      </c>
      <c r="O307" s="23" t="s">
        <v>12</v>
      </c>
      <c r="P307" s="36" t="s">
        <v>13</v>
      </c>
    </row>
    <row r="308" spans="1:16" s="8" customFormat="1" ht="16" customHeight="1">
      <c r="A308" s="35" t="s">
        <v>21</v>
      </c>
      <c r="B308" s="23" t="s">
        <v>1330</v>
      </c>
      <c r="C308" s="24" t="s">
        <v>1231</v>
      </c>
      <c r="D308" s="24" t="s">
        <v>150</v>
      </c>
      <c r="E308" s="24" t="s">
        <v>215</v>
      </c>
      <c r="F308" s="23">
        <v>1</v>
      </c>
      <c r="G308" s="23" t="s">
        <v>596</v>
      </c>
      <c r="H308" s="23">
        <v>14</v>
      </c>
      <c r="I308" s="23" t="s">
        <v>649</v>
      </c>
      <c r="J308" s="25" t="b">
        <v>0</v>
      </c>
      <c r="K308" s="25" t="b">
        <v>0</v>
      </c>
      <c r="L308" s="23">
        <v>1</v>
      </c>
      <c r="M308" s="23" t="s">
        <v>17</v>
      </c>
      <c r="N308" s="23" t="s">
        <v>17</v>
      </c>
      <c r="O308" s="23" t="s">
        <v>12</v>
      </c>
      <c r="P308" s="36" t="s">
        <v>13</v>
      </c>
    </row>
    <row r="309" spans="1:16" s="8" customFormat="1" ht="16" customHeight="1">
      <c r="A309" s="35" t="s">
        <v>68</v>
      </c>
      <c r="B309" s="23" t="s">
        <v>1330</v>
      </c>
      <c r="C309" s="24" t="s">
        <v>1190</v>
      </c>
      <c r="D309" s="24" t="s">
        <v>179</v>
      </c>
      <c r="E309" s="24" t="s">
        <v>212</v>
      </c>
      <c r="F309" s="23">
        <v>1</v>
      </c>
      <c r="G309" s="23" t="s">
        <v>584</v>
      </c>
      <c r="H309" s="23">
        <v>11</v>
      </c>
      <c r="I309" s="23" t="s">
        <v>1067</v>
      </c>
      <c r="J309" s="25" t="b">
        <v>1</v>
      </c>
      <c r="K309" s="25" t="b">
        <v>0</v>
      </c>
      <c r="L309" s="23">
        <v>1</v>
      </c>
      <c r="M309" s="23" t="s">
        <v>17</v>
      </c>
      <c r="N309" s="23" t="s">
        <v>17</v>
      </c>
      <c r="O309" s="23" t="s">
        <v>12</v>
      </c>
      <c r="P309" s="36" t="s">
        <v>13</v>
      </c>
    </row>
    <row r="310" spans="1:16" s="8" customFormat="1" ht="16" customHeight="1">
      <c r="A310" s="35" t="s">
        <v>95</v>
      </c>
      <c r="B310" s="23" t="s">
        <v>1330</v>
      </c>
      <c r="C310" s="24" t="s">
        <v>1179</v>
      </c>
      <c r="D310" s="24" t="s">
        <v>186</v>
      </c>
      <c r="E310" s="24" t="s">
        <v>187</v>
      </c>
      <c r="F310" s="23">
        <v>1</v>
      </c>
      <c r="G310" s="23" t="s">
        <v>1040</v>
      </c>
      <c r="H310" s="23">
        <v>1</v>
      </c>
      <c r="I310" s="23" t="s">
        <v>1101</v>
      </c>
      <c r="J310" s="25" t="b">
        <v>0</v>
      </c>
      <c r="K310" s="25" t="b">
        <v>0</v>
      </c>
      <c r="L310" s="23">
        <v>1</v>
      </c>
      <c r="M310" s="23" t="s">
        <v>17</v>
      </c>
      <c r="N310" s="23" t="s">
        <v>17</v>
      </c>
      <c r="O310" s="23" t="s">
        <v>12</v>
      </c>
      <c r="P310" s="36" t="s">
        <v>13</v>
      </c>
    </row>
    <row r="311" spans="1:16" s="8" customFormat="1" ht="16" customHeight="1">
      <c r="A311" s="35" t="s">
        <v>26</v>
      </c>
      <c r="B311" s="23" t="s">
        <v>1330</v>
      </c>
      <c r="C311" s="24" t="s">
        <v>1180</v>
      </c>
      <c r="D311" s="24" t="s">
        <v>172</v>
      </c>
      <c r="E311" s="24" t="s">
        <v>173</v>
      </c>
      <c r="F311" s="23">
        <v>1</v>
      </c>
      <c r="G311" s="23" t="s">
        <v>1080</v>
      </c>
      <c r="H311" s="23">
        <v>1</v>
      </c>
      <c r="I311" s="23" t="s">
        <v>1080</v>
      </c>
      <c r="J311" s="25" t="b">
        <v>0</v>
      </c>
      <c r="K311" s="25" t="b">
        <v>0</v>
      </c>
      <c r="L311" s="23">
        <v>1</v>
      </c>
      <c r="M311" s="23" t="s">
        <v>17</v>
      </c>
      <c r="N311" s="23" t="s">
        <v>17</v>
      </c>
      <c r="O311" s="23" t="s">
        <v>12</v>
      </c>
      <c r="P311" s="36" t="s">
        <v>13</v>
      </c>
    </row>
    <row r="312" spans="1:16" s="8" customFormat="1" ht="16" customHeight="1">
      <c r="A312" s="35" t="s">
        <v>65</v>
      </c>
      <c r="B312" s="23" t="s">
        <v>1330</v>
      </c>
      <c r="C312" s="24" t="s">
        <v>1232</v>
      </c>
      <c r="D312" s="24" t="s">
        <v>222</v>
      </c>
      <c r="E312" s="24" t="s">
        <v>223</v>
      </c>
      <c r="F312" s="23">
        <v>1</v>
      </c>
      <c r="G312" s="23" t="s">
        <v>737</v>
      </c>
      <c r="H312" s="23">
        <v>14</v>
      </c>
      <c r="I312" s="23" t="s">
        <v>1019</v>
      </c>
      <c r="J312" s="25" t="b">
        <v>0</v>
      </c>
      <c r="K312" s="25" t="b">
        <v>0</v>
      </c>
      <c r="L312" s="23">
        <v>1</v>
      </c>
      <c r="M312" s="23" t="s">
        <v>17</v>
      </c>
      <c r="N312" s="23" t="s">
        <v>17</v>
      </c>
      <c r="O312" s="23" t="s">
        <v>12</v>
      </c>
      <c r="P312" s="36" t="s">
        <v>13</v>
      </c>
    </row>
    <row r="313" spans="1:16" s="8" customFormat="1" ht="16" customHeight="1">
      <c r="A313" s="35" t="s">
        <v>57</v>
      </c>
      <c r="B313" s="23" t="s">
        <v>1330</v>
      </c>
      <c r="C313" s="24" t="s">
        <v>1161</v>
      </c>
      <c r="D313" s="24" t="s">
        <v>156</v>
      </c>
      <c r="E313" s="24" t="s">
        <v>176</v>
      </c>
      <c r="F313" s="23">
        <v>1</v>
      </c>
      <c r="G313" s="23" t="s">
        <v>596</v>
      </c>
      <c r="H313" s="23">
        <v>1</v>
      </c>
      <c r="I313" s="23" t="s">
        <v>596</v>
      </c>
      <c r="J313" s="25" t="b">
        <v>0</v>
      </c>
      <c r="K313" s="25" t="b">
        <v>0</v>
      </c>
      <c r="L313" s="23">
        <v>1</v>
      </c>
      <c r="M313" s="23" t="s">
        <v>17</v>
      </c>
      <c r="N313" s="23" t="s">
        <v>17</v>
      </c>
      <c r="O313" s="23" t="s">
        <v>12</v>
      </c>
      <c r="P313" s="36" t="s">
        <v>13</v>
      </c>
    </row>
    <row r="314" spans="1:16" s="8" customFormat="1" ht="16" customHeight="1">
      <c r="A314" s="35" t="s">
        <v>57</v>
      </c>
      <c r="B314" s="23" t="s">
        <v>1330</v>
      </c>
      <c r="C314" s="24" t="s">
        <v>1162</v>
      </c>
      <c r="D314" s="24" t="s">
        <v>183</v>
      </c>
      <c r="E314" s="24" t="s">
        <v>184</v>
      </c>
      <c r="F314" s="23">
        <v>1</v>
      </c>
      <c r="G314" s="23" t="s">
        <v>1063</v>
      </c>
      <c r="H314" s="23">
        <v>1</v>
      </c>
      <c r="I314" s="23" t="s">
        <v>1063</v>
      </c>
      <c r="J314" s="25" t="b">
        <v>0</v>
      </c>
      <c r="K314" s="25" t="b">
        <v>0</v>
      </c>
      <c r="L314" s="23">
        <v>1</v>
      </c>
      <c r="M314" s="23" t="s">
        <v>17</v>
      </c>
      <c r="N314" s="23" t="s">
        <v>17</v>
      </c>
      <c r="O314" s="23" t="s">
        <v>12</v>
      </c>
      <c r="P314" s="36" t="s">
        <v>13</v>
      </c>
    </row>
    <row r="315" spans="1:16" s="8" customFormat="1" ht="16" customHeight="1">
      <c r="A315" s="35" t="s">
        <v>102</v>
      </c>
      <c r="B315" s="23" t="s">
        <v>1330</v>
      </c>
      <c r="C315" s="24" t="s">
        <v>1181</v>
      </c>
      <c r="D315" s="24" t="s">
        <v>199</v>
      </c>
      <c r="E315" s="24" t="s">
        <v>200</v>
      </c>
      <c r="F315" s="23">
        <v>1</v>
      </c>
      <c r="G315" s="23" t="s">
        <v>1080</v>
      </c>
      <c r="H315" s="23">
        <v>1</v>
      </c>
      <c r="I315" s="23" t="s">
        <v>596</v>
      </c>
      <c r="J315" s="25" t="b">
        <v>0</v>
      </c>
      <c r="K315" s="25" t="b">
        <v>0</v>
      </c>
      <c r="L315" s="23">
        <v>1</v>
      </c>
      <c r="M315" s="23" t="s">
        <v>17</v>
      </c>
      <c r="N315" s="23" t="s">
        <v>17</v>
      </c>
      <c r="O315" s="23" t="s">
        <v>12</v>
      </c>
      <c r="P315" s="36" t="s">
        <v>13</v>
      </c>
    </row>
    <row r="316" spans="1:16" s="8" customFormat="1" ht="16" customHeight="1">
      <c r="A316" s="35" t="s">
        <v>69</v>
      </c>
      <c r="B316" s="23" t="s">
        <v>1330</v>
      </c>
      <c r="C316" s="24" t="s">
        <v>1182</v>
      </c>
      <c r="D316" s="24" t="s">
        <v>181</v>
      </c>
      <c r="E316" s="24" t="s">
        <v>182</v>
      </c>
      <c r="F316" s="23">
        <v>1</v>
      </c>
      <c r="G316" s="23" t="s">
        <v>1042</v>
      </c>
      <c r="H316" s="23">
        <v>1</v>
      </c>
      <c r="I316" s="23" t="s">
        <v>1042</v>
      </c>
      <c r="J316" s="25" t="b">
        <v>1</v>
      </c>
      <c r="K316" s="25" t="b">
        <v>0</v>
      </c>
      <c r="L316" s="23">
        <v>1</v>
      </c>
      <c r="M316" s="23" t="s">
        <v>17</v>
      </c>
      <c r="N316" s="23" t="s">
        <v>17</v>
      </c>
      <c r="O316" s="23" t="s">
        <v>12</v>
      </c>
      <c r="P316" s="36" t="s">
        <v>13</v>
      </c>
    </row>
    <row r="317" spans="1:16" s="8" customFormat="1" ht="16" customHeight="1">
      <c r="A317" s="35" t="s">
        <v>81</v>
      </c>
      <c r="B317" s="23" t="s">
        <v>1330</v>
      </c>
      <c r="C317" s="24" t="s">
        <v>1183</v>
      </c>
      <c r="D317" s="24" t="s">
        <v>203</v>
      </c>
      <c r="E317" s="24" t="s">
        <v>204</v>
      </c>
      <c r="F317" s="23">
        <v>1</v>
      </c>
      <c r="G317" s="23" t="s">
        <v>738</v>
      </c>
      <c r="H317" s="23">
        <v>1</v>
      </c>
      <c r="I317" s="23" t="s">
        <v>882</v>
      </c>
      <c r="J317" s="25" t="b">
        <v>0</v>
      </c>
      <c r="K317" s="25" t="b">
        <v>0</v>
      </c>
      <c r="L317" s="23">
        <v>1</v>
      </c>
      <c r="M317" s="23" t="s">
        <v>17</v>
      </c>
      <c r="N317" s="23" t="s">
        <v>17</v>
      </c>
      <c r="O317" s="23" t="s">
        <v>12</v>
      </c>
      <c r="P317" s="36" t="s">
        <v>13</v>
      </c>
    </row>
    <row r="318" spans="1:16" s="8" customFormat="1" ht="16" customHeight="1">
      <c r="A318" s="35" t="s">
        <v>79</v>
      </c>
      <c r="B318" s="23" t="s">
        <v>1330</v>
      </c>
      <c r="C318" s="24" t="s">
        <v>1184</v>
      </c>
      <c r="D318" s="24" t="s">
        <v>166</v>
      </c>
      <c r="E318" s="24" t="s">
        <v>167</v>
      </c>
      <c r="F318" s="23">
        <v>1</v>
      </c>
      <c r="G318" s="23" t="s">
        <v>737</v>
      </c>
      <c r="H318" s="23">
        <v>1</v>
      </c>
      <c r="I318" s="23" t="s">
        <v>737</v>
      </c>
      <c r="J318" s="25" t="b">
        <v>1</v>
      </c>
      <c r="K318" s="25" t="b">
        <v>1</v>
      </c>
      <c r="L318" s="23">
        <v>1</v>
      </c>
      <c r="M318" s="23" t="s">
        <v>17</v>
      </c>
      <c r="N318" s="23" t="s">
        <v>17</v>
      </c>
      <c r="O318" s="23" t="s">
        <v>12</v>
      </c>
      <c r="P318" s="36" t="s">
        <v>13</v>
      </c>
    </row>
    <row r="319" spans="1:16" s="8" customFormat="1" ht="16" customHeight="1">
      <c r="A319" s="35" t="s">
        <v>98</v>
      </c>
      <c r="B319" s="23" t="s">
        <v>1330</v>
      </c>
      <c r="C319" s="24" t="s">
        <v>1191</v>
      </c>
      <c r="D319" s="24" t="s">
        <v>216</v>
      </c>
      <c r="E319" s="24" t="s">
        <v>217</v>
      </c>
      <c r="F319" s="23">
        <v>1</v>
      </c>
      <c r="G319" s="23" t="s">
        <v>1076</v>
      </c>
      <c r="H319" s="23">
        <v>11</v>
      </c>
      <c r="I319" s="23" t="s">
        <v>1046</v>
      </c>
      <c r="J319" s="25" t="b">
        <v>0</v>
      </c>
      <c r="K319" s="25" t="b">
        <v>0</v>
      </c>
      <c r="L319" s="23">
        <v>1</v>
      </c>
      <c r="M319" s="23" t="s">
        <v>17</v>
      </c>
      <c r="N319" s="23" t="s">
        <v>17</v>
      </c>
      <c r="O319" s="23" t="s">
        <v>12</v>
      </c>
      <c r="P319" s="36" t="s">
        <v>13</v>
      </c>
    </row>
    <row r="320" spans="1:16" s="8" customFormat="1" ht="16" customHeight="1">
      <c r="A320" s="35" t="s">
        <v>56</v>
      </c>
      <c r="B320" s="23" t="s">
        <v>1330</v>
      </c>
      <c r="C320" s="24" t="s">
        <v>1186</v>
      </c>
      <c r="D320" s="24" t="s">
        <v>236</v>
      </c>
      <c r="E320" s="24" t="s">
        <v>237</v>
      </c>
      <c r="F320" s="23">
        <v>10</v>
      </c>
      <c r="G320" s="23" t="s">
        <v>993</v>
      </c>
      <c r="H320" s="23">
        <v>10</v>
      </c>
      <c r="I320" s="23" t="s">
        <v>1105</v>
      </c>
      <c r="J320" s="25" t="b">
        <v>0</v>
      </c>
      <c r="K320" s="25" t="b">
        <v>0</v>
      </c>
      <c r="L320" s="23">
        <v>1</v>
      </c>
      <c r="M320" s="23" t="s">
        <v>17</v>
      </c>
      <c r="N320" s="23" t="s">
        <v>17</v>
      </c>
      <c r="O320" s="23" t="s">
        <v>12</v>
      </c>
      <c r="P320" s="36" t="s">
        <v>13</v>
      </c>
    </row>
    <row r="321" spans="1:16" s="8" customFormat="1" ht="16" customHeight="1">
      <c r="A321" s="35" t="s">
        <v>115</v>
      </c>
      <c r="B321" s="23" t="s">
        <v>1330</v>
      </c>
      <c r="C321" s="24" t="s">
        <v>1187</v>
      </c>
      <c r="D321" s="24" t="s">
        <v>234</v>
      </c>
      <c r="E321" s="24" t="s">
        <v>235</v>
      </c>
      <c r="F321" s="23">
        <v>10</v>
      </c>
      <c r="G321" s="23" t="s">
        <v>616</v>
      </c>
      <c r="H321" s="23">
        <v>10</v>
      </c>
      <c r="I321" s="23" t="s">
        <v>612</v>
      </c>
      <c r="J321" s="25" t="b">
        <v>0</v>
      </c>
      <c r="K321" s="25" t="b">
        <v>0</v>
      </c>
      <c r="L321" s="23">
        <v>1</v>
      </c>
      <c r="M321" s="23" t="s">
        <v>17</v>
      </c>
      <c r="N321" s="23" t="s">
        <v>17</v>
      </c>
      <c r="O321" s="23" t="s">
        <v>12</v>
      </c>
      <c r="P321" s="36" t="s">
        <v>13</v>
      </c>
    </row>
    <row r="322" spans="1:16" s="8" customFormat="1" ht="16" customHeight="1">
      <c r="A322" s="35" t="s">
        <v>117</v>
      </c>
      <c r="B322" s="23" t="s">
        <v>1330</v>
      </c>
      <c r="C322" s="24" t="s">
        <v>1188</v>
      </c>
      <c r="D322" s="24" t="s">
        <v>226</v>
      </c>
      <c r="E322" s="24" t="s">
        <v>227</v>
      </c>
      <c r="F322" s="23">
        <v>10</v>
      </c>
      <c r="G322" s="23" t="s">
        <v>738</v>
      </c>
      <c r="H322" s="23">
        <v>10</v>
      </c>
      <c r="I322" s="23" t="s">
        <v>738</v>
      </c>
      <c r="J322" s="25" t="b">
        <v>0</v>
      </c>
      <c r="K322" s="25" t="b">
        <v>0</v>
      </c>
      <c r="L322" s="23">
        <v>1</v>
      </c>
      <c r="M322" s="23" t="s">
        <v>17</v>
      </c>
      <c r="N322" s="23" t="s">
        <v>17</v>
      </c>
      <c r="O322" s="23" t="s">
        <v>12</v>
      </c>
      <c r="P322" s="36" t="s">
        <v>13</v>
      </c>
    </row>
    <row r="323" spans="1:16" s="8" customFormat="1" ht="16" customHeight="1">
      <c r="A323" s="35" t="s">
        <v>98</v>
      </c>
      <c r="B323" s="23" t="s">
        <v>1330</v>
      </c>
      <c r="C323" s="24" t="s">
        <v>1189</v>
      </c>
      <c r="D323" s="24" t="s">
        <v>228</v>
      </c>
      <c r="E323" s="24" t="s">
        <v>229</v>
      </c>
      <c r="F323" s="23">
        <v>10</v>
      </c>
      <c r="G323" s="23" t="s">
        <v>1072</v>
      </c>
      <c r="H323" s="23">
        <v>10</v>
      </c>
      <c r="I323" s="23" t="s">
        <v>1072</v>
      </c>
      <c r="J323" s="25" t="b">
        <v>0</v>
      </c>
      <c r="K323" s="25" t="b">
        <v>0</v>
      </c>
      <c r="L323" s="23">
        <v>1</v>
      </c>
      <c r="M323" s="23" t="s">
        <v>17</v>
      </c>
      <c r="N323" s="23" t="s">
        <v>17</v>
      </c>
      <c r="O323" s="23" t="s">
        <v>12</v>
      </c>
      <c r="P323" s="36" t="s">
        <v>13</v>
      </c>
    </row>
    <row r="324" spans="1:16" s="8" customFormat="1" ht="16" customHeight="1">
      <c r="A324" s="35" t="s">
        <v>54</v>
      </c>
      <c r="B324" s="23" t="s">
        <v>1330</v>
      </c>
      <c r="C324" s="24" t="s">
        <v>1192</v>
      </c>
      <c r="D324" s="24" t="s">
        <v>245</v>
      </c>
      <c r="E324" s="24" t="s">
        <v>246</v>
      </c>
      <c r="F324" s="23">
        <v>11</v>
      </c>
      <c r="G324" s="23" t="s">
        <v>722</v>
      </c>
      <c r="H324" s="23">
        <v>11</v>
      </c>
      <c r="I324" s="23" t="s">
        <v>1096</v>
      </c>
      <c r="J324" s="25" t="b">
        <v>0</v>
      </c>
      <c r="K324" s="25" t="b">
        <v>0</v>
      </c>
      <c r="L324" s="23">
        <v>1</v>
      </c>
      <c r="M324" s="23" t="s">
        <v>17</v>
      </c>
      <c r="N324" s="23" t="s">
        <v>17</v>
      </c>
      <c r="O324" s="23" t="s">
        <v>12</v>
      </c>
      <c r="P324" s="36" t="s">
        <v>13</v>
      </c>
    </row>
    <row r="325" spans="1:16" s="8" customFormat="1" ht="16" customHeight="1">
      <c r="A325" s="35" t="s">
        <v>41</v>
      </c>
      <c r="B325" s="23" t="s">
        <v>1330</v>
      </c>
      <c r="C325" s="24" t="s">
        <v>1269</v>
      </c>
      <c r="D325" s="24" t="s">
        <v>249</v>
      </c>
      <c r="E325" s="24" t="s">
        <v>250</v>
      </c>
      <c r="F325" s="23">
        <v>11</v>
      </c>
      <c r="G325" s="23" t="s">
        <v>708</v>
      </c>
      <c r="H325" s="23">
        <v>20</v>
      </c>
      <c r="I325" s="23" t="s">
        <v>1041</v>
      </c>
      <c r="J325" s="25" t="b">
        <v>0</v>
      </c>
      <c r="K325" s="25" t="b">
        <v>0</v>
      </c>
      <c r="L325" s="23">
        <v>1</v>
      </c>
      <c r="M325" s="23" t="s">
        <v>17</v>
      </c>
      <c r="N325" s="23" t="s">
        <v>17</v>
      </c>
      <c r="O325" s="23" t="s">
        <v>12</v>
      </c>
      <c r="P325" s="36" t="s">
        <v>13</v>
      </c>
    </row>
    <row r="326" spans="1:16" s="8" customFormat="1" ht="16" customHeight="1">
      <c r="A326" s="35" t="s">
        <v>26</v>
      </c>
      <c r="B326" s="23" t="s">
        <v>1330</v>
      </c>
      <c r="C326" s="24" t="s">
        <v>1193</v>
      </c>
      <c r="D326" s="24" t="s">
        <v>240</v>
      </c>
      <c r="E326" s="24" t="s">
        <v>241</v>
      </c>
      <c r="F326" s="23">
        <v>11</v>
      </c>
      <c r="G326" s="23" t="s">
        <v>1067</v>
      </c>
      <c r="H326" s="23">
        <v>11</v>
      </c>
      <c r="I326" s="23" t="s">
        <v>1067</v>
      </c>
      <c r="J326" s="25" t="b">
        <v>0</v>
      </c>
      <c r="K326" s="25" t="b">
        <v>0</v>
      </c>
      <c r="L326" s="23">
        <v>1</v>
      </c>
      <c r="M326" s="23" t="s">
        <v>17</v>
      </c>
      <c r="N326" s="23" t="s">
        <v>17</v>
      </c>
      <c r="O326" s="23" t="s">
        <v>12</v>
      </c>
      <c r="P326" s="36" t="s">
        <v>13</v>
      </c>
    </row>
    <row r="327" spans="1:16" s="8" customFormat="1" ht="16" customHeight="1">
      <c r="A327" s="35" t="s">
        <v>20</v>
      </c>
      <c r="B327" s="23" t="s">
        <v>1330</v>
      </c>
      <c r="C327" s="24" t="s">
        <v>1194</v>
      </c>
      <c r="D327" s="24" t="s">
        <v>242</v>
      </c>
      <c r="E327" s="24" t="s">
        <v>243</v>
      </c>
      <c r="F327" s="23">
        <v>11</v>
      </c>
      <c r="G327" s="23" t="s">
        <v>722</v>
      </c>
      <c r="H327" s="23">
        <v>11</v>
      </c>
      <c r="I327" s="23" t="s">
        <v>722</v>
      </c>
      <c r="J327" s="25" t="b">
        <v>0</v>
      </c>
      <c r="K327" s="25" t="b">
        <v>0</v>
      </c>
      <c r="L327" s="23">
        <v>1</v>
      </c>
      <c r="M327" s="23" t="s">
        <v>17</v>
      </c>
      <c r="N327" s="23" t="s">
        <v>17</v>
      </c>
      <c r="O327" s="23" t="s">
        <v>12</v>
      </c>
      <c r="P327" s="36" t="s">
        <v>13</v>
      </c>
    </row>
    <row r="328" spans="1:16" s="8" customFormat="1" ht="16" customHeight="1">
      <c r="A328" s="35" t="s">
        <v>22</v>
      </c>
      <c r="B328" s="23" t="s">
        <v>1330</v>
      </c>
      <c r="C328" s="24" t="s">
        <v>1198</v>
      </c>
      <c r="D328" s="24" t="s">
        <v>307</v>
      </c>
      <c r="E328" s="24" t="s">
        <v>308</v>
      </c>
      <c r="F328" s="23">
        <v>12</v>
      </c>
      <c r="G328" s="23" t="s">
        <v>649</v>
      </c>
      <c r="H328" s="23">
        <v>12</v>
      </c>
      <c r="I328" s="23" t="s">
        <v>1058</v>
      </c>
      <c r="J328" s="25" t="b">
        <v>0</v>
      </c>
      <c r="K328" s="25" t="b">
        <v>0</v>
      </c>
      <c r="L328" s="23">
        <v>1</v>
      </c>
      <c r="M328" s="23" t="s">
        <v>17</v>
      </c>
      <c r="N328" s="23" t="s">
        <v>17</v>
      </c>
      <c r="O328" s="23" t="s">
        <v>12</v>
      </c>
      <c r="P328" s="36" t="s">
        <v>13</v>
      </c>
    </row>
    <row r="329" spans="1:16" s="8" customFormat="1" ht="16" customHeight="1">
      <c r="A329" s="35" t="s">
        <v>63</v>
      </c>
      <c r="B329" s="23" t="s">
        <v>1330</v>
      </c>
      <c r="C329" s="24" t="s">
        <v>1195</v>
      </c>
      <c r="D329" s="24" t="s">
        <v>305</v>
      </c>
      <c r="E329" s="24" t="s">
        <v>306</v>
      </c>
      <c r="F329" s="23">
        <v>12</v>
      </c>
      <c r="G329" s="23" t="s">
        <v>914</v>
      </c>
      <c r="H329" s="23">
        <v>12</v>
      </c>
      <c r="I329" s="23" t="s">
        <v>619</v>
      </c>
      <c r="J329" s="25" t="b">
        <v>0</v>
      </c>
      <c r="K329" s="25" t="b">
        <v>0</v>
      </c>
      <c r="L329" s="23">
        <v>1</v>
      </c>
      <c r="M329" s="23" t="s">
        <v>17</v>
      </c>
      <c r="N329" s="23" t="s">
        <v>17</v>
      </c>
      <c r="O329" s="23" t="s">
        <v>12</v>
      </c>
      <c r="P329" s="36" t="s">
        <v>13</v>
      </c>
    </row>
    <row r="330" spans="1:16" s="8" customFormat="1" ht="16" customHeight="1">
      <c r="A330" s="35" t="s">
        <v>38</v>
      </c>
      <c r="B330" s="23" t="s">
        <v>1330</v>
      </c>
      <c r="C330" s="24" t="s">
        <v>1199</v>
      </c>
      <c r="D330" s="24" t="s">
        <v>251</v>
      </c>
      <c r="E330" s="24" t="s">
        <v>252</v>
      </c>
      <c r="F330" s="23">
        <v>12</v>
      </c>
      <c r="G330" s="23" t="s">
        <v>605</v>
      </c>
      <c r="H330" s="23">
        <v>12</v>
      </c>
      <c r="I330" s="23" t="s">
        <v>605</v>
      </c>
      <c r="J330" s="25" t="b">
        <v>0</v>
      </c>
      <c r="K330" s="25" t="b">
        <v>0</v>
      </c>
      <c r="L330" s="23">
        <v>1</v>
      </c>
      <c r="M330" s="23" t="s">
        <v>17</v>
      </c>
      <c r="N330" s="23" t="s">
        <v>17</v>
      </c>
      <c r="O330" s="23" t="s">
        <v>12</v>
      </c>
      <c r="P330" s="36" t="s">
        <v>13</v>
      </c>
    </row>
    <row r="331" spans="1:16" s="8" customFormat="1" ht="16" customHeight="1">
      <c r="A331" s="35" t="s">
        <v>110</v>
      </c>
      <c r="B331" s="23" t="s">
        <v>1330</v>
      </c>
      <c r="C331" s="24" t="s">
        <v>1200</v>
      </c>
      <c r="D331" s="24" t="s">
        <v>123</v>
      </c>
      <c r="E331" s="24" t="s">
        <v>282</v>
      </c>
      <c r="F331" s="23">
        <v>12</v>
      </c>
      <c r="G331" s="23" t="s">
        <v>619</v>
      </c>
      <c r="H331" s="23">
        <v>12</v>
      </c>
      <c r="I331" s="23" t="s">
        <v>1041</v>
      </c>
      <c r="J331" s="25" t="b">
        <v>1</v>
      </c>
      <c r="K331" s="25" t="b">
        <v>0</v>
      </c>
      <c r="L331" s="23">
        <v>1</v>
      </c>
      <c r="M331" s="23" t="s">
        <v>17</v>
      </c>
      <c r="N331" s="23" t="s">
        <v>17</v>
      </c>
      <c r="O331" s="23" t="s">
        <v>12</v>
      </c>
      <c r="P331" s="36" t="s">
        <v>13</v>
      </c>
    </row>
    <row r="332" spans="1:16" s="8" customFormat="1" ht="16" customHeight="1">
      <c r="A332" s="35" t="s">
        <v>63</v>
      </c>
      <c r="B332" s="23" t="s">
        <v>1330</v>
      </c>
      <c r="C332" s="24" t="s">
        <v>1196</v>
      </c>
      <c r="D332" s="24" t="s">
        <v>275</v>
      </c>
      <c r="E332" s="24" t="s">
        <v>276</v>
      </c>
      <c r="F332" s="23">
        <v>12</v>
      </c>
      <c r="G332" s="23" t="s">
        <v>648</v>
      </c>
      <c r="H332" s="23">
        <v>12</v>
      </c>
      <c r="I332" s="23" t="s">
        <v>648</v>
      </c>
      <c r="J332" s="25" t="b">
        <v>0</v>
      </c>
      <c r="K332" s="25" t="b">
        <v>0</v>
      </c>
      <c r="L332" s="23">
        <v>1</v>
      </c>
      <c r="M332" s="23" t="s">
        <v>17</v>
      </c>
      <c r="N332" s="23" t="s">
        <v>17</v>
      </c>
      <c r="O332" s="23" t="s">
        <v>12</v>
      </c>
      <c r="P332" s="36" t="s">
        <v>13</v>
      </c>
    </row>
    <row r="333" spans="1:16" s="8" customFormat="1" ht="16" customHeight="1">
      <c r="A333" s="35" t="s">
        <v>22</v>
      </c>
      <c r="B333" s="23" t="s">
        <v>1330</v>
      </c>
      <c r="C333" s="24" t="s">
        <v>1201</v>
      </c>
      <c r="D333" s="24" t="s">
        <v>309</v>
      </c>
      <c r="E333" s="24" t="s">
        <v>310</v>
      </c>
      <c r="F333" s="23">
        <v>12</v>
      </c>
      <c r="G333" s="23" t="s">
        <v>1081</v>
      </c>
      <c r="H333" s="23">
        <v>12</v>
      </c>
      <c r="I333" s="23" t="s">
        <v>609</v>
      </c>
      <c r="J333" s="25" t="b">
        <v>0</v>
      </c>
      <c r="K333" s="25" t="b">
        <v>0</v>
      </c>
      <c r="L333" s="23">
        <v>1</v>
      </c>
      <c r="M333" s="23" t="s">
        <v>17</v>
      </c>
      <c r="N333" s="23" t="s">
        <v>17</v>
      </c>
      <c r="O333" s="23" t="s">
        <v>12</v>
      </c>
      <c r="P333" s="36" t="s">
        <v>13</v>
      </c>
    </row>
    <row r="334" spans="1:16" s="8" customFormat="1" ht="16" customHeight="1">
      <c r="A334" s="35" t="s">
        <v>68</v>
      </c>
      <c r="B334" s="23" t="s">
        <v>1330</v>
      </c>
      <c r="C334" s="24" t="s">
        <v>1202</v>
      </c>
      <c r="D334" s="24" t="s">
        <v>254</v>
      </c>
      <c r="E334" s="24" t="s">
        <v>255</v>
      </c>
      <c r="F334" s="23">
        <v>12</v>
      </c>
      <c r="G334" s="23" t="s">
        <v>619</v>
      </c>
      <c r="H334" s="23">
        <v>12</v>
      </c>
      <c r="I334" s="23" t="s">
        <v>619</v>
      </c>
      <c r="J334" s="25" t="b">
        <v>0</v>
      </c>
      <c r="K334" s="25" t="b">
        <v>0</v>
      </c>
      <c r="L334" s="23">
        <v>1</v>
      </c>
      <c r="M334" s="23" t="s">
        <v>17</v>
      </c>
      <c r="N334" s="23" t="s">
        <v>17</v>
      </c>
      <c r="O334" s="23" t="s">
        <v>12</v>
      </c>
      <c r="P334" s="36" t="s">
        <v>13</v>
      </c>
    </row>
    <row r="335" spans="1:16" s="8" customFormat="1" ht="16" customHeight="1">
      <c r="A335" s="35" t="s">
        <v>53</v>
      </c>
      <c r="B335" s="23" t="s">
        <v>1330</v>
      </c>
      <c r="C335" s="24" t="s">
        <v>1283</v>
      </c>
      <c r="D335" s="24" t="s">
        <v>123</v>
      </c>
      <c r="E335" s="24" t="s">
        <v>313</v>
      </c>
      <c r="F335" s="23">
        <v>12</v>
      </c>
      <c r="G335" s="23" t="s">
        <v>619</v>
      </c>
      <c r="H335" s="23">
        <v>4</v>
      </c>
      <c r="I335" s="23" t="s">
        <v>649</v>
      </c>
      <c r="J335" s="25" t="b">
        <v>1</v>
      </c>
      <c r="K335" s="25" t="b">
        <v>0</v>
      </c>
      <c r="L335" s="23">
        <v>1</v>
      </c>
      <c r="M335" s="23" t="s">
        <v>17</v>
      </c>
      <c r="N335" s="23" t="s">
        <v>17</v>
      </c>
      <c r="O335" s="23" t="s">
        <v>12</v>
      </c>
      <c r="P335" s="36" t="s">
        <v>13</v>
      </c>
    </row>
    <row r="336" spans="1:16" s="8" customFormat="1" ht="16" customHeight="1">
      <c r="A336" s="35" t="s">
        <v>48</v>
      </c>
      <c r="B336" s="23" t="s">
        <v>1330</v>
      </c>
      <c r="C336" s="24" t="s">
        <v>1203</v>
      </c>
      <c r="D336" s="24" t="s">
        <v>264</v>
      </c>
      <c r="E336" s="24" t="s">
        <v>265</v>
      </c>
      <c r="F336" s="23">
        <v>12</v>
      </c>
      <c r="G336" s="23" t="s">
        <v>914</v>
      </c>
      <c r="H336" s="23">
        <v>12</v>
      </c>
      <c r="I336" s="23" t="s">
        <v>914</v>
      </c>
      <c r="J336" s="25" t="b">
        <v>0</v>
      </c>
      <c r="K336" s="25" t="b">
        <v>1</v>
      </c>
      <c r="L336" s="23">
        <v>1</v>
      </c>
      <c r="M336" s="23" t="s">
        <v>17</v>
      </c>
      <c r="N336" s="23" t="s">
        <v>17</v>
      </c>
      <c r="O336" s="23" t="s">
        <v>12</v>
      </c>
      <c r="P336" s="36" t="s">
        <v>13</v>
      </c>
    </row>
    <row r="337" spans="1:16" s="8" customFormat="1" ht="16" customHeight="1">
      <c r="A337" s="35" t="s">
        <v>22</v>
      </c>
      <c r="B337" s="23" t="s">
        <v>1330</v>
      </c>
      <c r="C337" s="24" t="s">
        <v>1204</v>
      </c>
      <c r="D337" s="24" t="s">
        <v>292</v>
      </c>
      <c r="E337" s="24" t="s">
        <v>293</v>
      </c>
      <c r="F337" s="23">
        <v>12</v>
      </c>
      <c r="G337" s="23" t="s">
        <v>636</v>
      </c>
      <c r="H337" s="23">
        <v>12</v>
      </c>
      <c r="I337" s="23" t="s">
        <v>620</v>
      </c>
      <c r="J337" s="25" t="b">
        <v>0</v>
      </c>
      <c r="K337" s="25" t="b">
        <v>0</v>
      </c>
      <c r="L337" s="23">
        <v>1</v>
      </c>
      <c r="M337" s="23" t="s">
        <v>17</v>
      </c>
      <c r="N337" s="23" t="s">
        <v>17</v>
      </c>
      <c r="O337" s="23" t="s">
        <v>12</v>
      </c>
      <c r="P337" s="36" t="s">
        <v>13</v>
      </c>
    </row>
    <row r="338" spans="1:16" s="8" customFormat="1" ht="16" customHeight="1">
      <c r="A338" s="35" t="s">
        <v>22</v>
      </c>
      <c r="B338" s="23" t="s">
        <v>1330</v>
      </c>
      <c r="C338" s="24" t="s">
        <v>1205</v>
      </c>
      <c r="D338" s="24" t="s">
        <v>303</v>
      </c>
      <c r="E338" s="24" t="s">
        <v>304</v>
      </c>
      <c r="F338" s="23">
        <v>12</v>
      </c>
      <c r="G338" s="23" t="s">
        <v>635</v>
      </c>
      <c r="H338" s="23">
        <v>12</v>
      </c>
      <c r="I338" s="23" t="s">
        <v>1029</v>
      </c>
      <c r="J338" s="25" t="b">
        <v>1</v>
      </c>
      <c r="K338" s="25" t="b">
        <v>0</v>
      </c>
      <c r="L338" s="23">
        <v>1</v>
      </c>
      <c r="M338" s="23" t="s">
        <v>17</v>
      </c>
      <c r="N338" s="23" t="s">
        <v>17</v>
      </c>
      <c r="O338" s="23" t="s">
        <v>12</v>
      </c>
      <c r="P338" s="36" t="s">
        <v>13</v>
      </c>
    </row>
    <row r="339" spans="1:16" s="8" customFormat="1" ht="16" customHeight="1">
      <c r="A339" s="35" t="s">
        <v>64</v>
      </c>
      <c r="B339" s="23" t="s">
        <v>1330</v>
      </c>
      <c r="C339" s="24" t="s">
        <v>1206</v>
      </c>
      <c r="D339" s="24" t="s">
        <v>257</v>
      </c>
      <c r="E339" s="24" t="s">
        <v>258</v>
      </c>
      <c r="F339" s="23">
        <v>12</v>
      </c>
      <c r="G339" s="23" t="s">
        <v>605</v>
      </c>
      <c r="H339" s="23">
        <v>12</v>
      </c>
      <c r="I339" s="23" t="s">
        <v>605</v>
      </c>
      <c r="J339" s="25" t="b">
        <v>0</v>
      </c>
      <c r="K339" s="25" t="b">
        <v>1</v>
      </c>
      <c r="L339" s="23">
        <v>1</v>
      </c>
      <c r="M339" s="23" t="s">
        <v>17</v>
      </c>
      <c r="N339" s="23" t="s">
        <v>17</v>
      </c>
      <c r="O339" s="23" t="s">
        <v>12</v>
      </c>
      <c r="P339" s="36" t="s">
        <v>13</v>
      </c>
    </row>
    <row r="340" spans="1:16" s="8" customFormat="1" ht="16" customHeight="1">
      <c r="A340" s="35" t="s">
        <v>110</v>
      </c>
      <c r="B340" s="23" t="s">
        <v>1330</v>
      </c>
      <c r="C340" s="24" t="s">
        <v>1207</v>
      </c>
      <c r="D340" s="24" t="s">
        <v>277</v>
      </c>
      <c r="E340" s="24" t="s">
        <v>278</v>
      </c>
      <c r="F340" s="23">
        <v>12</v>
      </c>
      <c r="G340" s="23" t="s">
        <v>635</v>
      </c>
      <c r="H340" s="23">
        <v>12</v>
      </c>
      <c r="I340" s="23" t="s">
        <v>635</v>
      </c>
      <c r="J340" s="25" t="b">
        <v>1</v>
      </c>
      <c r="K340" s="25" t="b">
        <v>0</v>
      </c>
      <c r="L340" s="23">
        <v>1</v>
      </c>
      <c r="M340" s="23" t="s">
        <v>17</v>
      </c>
      <c r="N340" s="23" t="s">
        <v>17</v>
      </c>
      <c r="O340" s="23" t="s">
        <v>12</v>
      </c>
      <c r="P340" s="36" t="s">
        <v>13</v>
      </c>
    </row>
    <row r="341" spans="1:16" s="8" customFormat="1" ht="16" customHeight="1">
      <c r="A341" s="35" t="s">
        <v>22</v>
      </c>
      <c r="B341" s="23" t="s">
        <v>1330</v>
      </c>
      <c r="C341" s="24" t="s">
        <v>1208</v>
      </c>
      <c r="D341" s="24" t="s">
        <v>288</v>
      </c>
      <c r="E341" s="24" t="s">
        <v>289</v>
      </c>
      <c r="F341" s="23">
        <v>12</v>
      </c>
      <c r="G341" s="23" t="s">
        <v>635</v>
      </c>
      <c r="H341" s="23">
        <v>12</v>
      </c>
      <c r="I341" s="23" t="s">
        <v>605</v>
      </c>
      <c r="J341" s="25" t="b">
        <v>0</v>
      </c>
      <c r="K341" s="25" t="b">
        <v>1</v>
      </c>
      <c r="L341" s="23">
        <v>1</v>
      </c>
      <c r="M341" s="23" t="s">
        <v>17</v>
      </c>
      <c r="N341" s="23" t="s">
        <v>17</v>
      </c>
      <c r="O341" s="23" t="s">
        <v>12</v>
      </c>
      <c r="P341" s="36" t="s">
        <v>13</v>
      </c>
    </row>
    <row r="342" spans="1:16" s="8" customFormat="1" ht="16" customHeight="1">
      <c r="A342" s="35" t="s">
        <v>66</v>
      </c>
      <c r="B342" s="23" t="s">
        <v>1330</v>
      </c>
      <c r="C342" s="24" t="s">
        <v>1209</v>
      </c>
      <c r="D342" s="24" t="s">
        <v>149</v>
      </c>
      <c r="E342" s="24" t="s">
        <v>291</v>
      </c>
      <c r="F342" s="23">
        <v>12</v>
      </c>
      <c r="G342" s="23" t="s">
        <v>635</v>
      </c>
      <c r="H342" s="23">
        <v>12</v>
      </c>
      <c r="I342" s="23" t="s">
        <v>1041</v>
      </c>
      <c r="J342" s="25" t="b">
        <v>0</v>
      </c>
      <c r="K342" s="25" t="b">
        <v>0</v>
      </c>
      <c r="L342" s="23">
        <v>1</v>
      </c>
      <c r="M342" s="23" t="s">
        <v>17</v>
      </c>
      <c r="N342" s="23" t="s">
        <v>17</v>
      </c>
      <c r="O342" s="23" t="s">
        <v>12</v>
      </c>
      <c r="P342" s="36" t="s">
        <v>13</v>
      </c>
    </row>
    <row r="343" spans="1:16" s="8" customFormat="1" ht="16" customHeight="1">
      <c r="A343" s="35" t="s">
        <v>22</v>
      </c>
      <c r="B343" s="23" t="s">
        <v>1330</v>
      </c>
      <c r="C343" s="24" t="s">
        <v>1210</v>
      </c>
      <c r="D343" s="24" t="s">
        <v>297</v>
      </c>
      <c r="E343" s="24" t="s">
        <v>298</v>
      </c>
      <c r="F343" s="23">
        <v>12</v>
      </c>
      <c r="G343" s="23" t="s">
        <v>609</v>
      </c>
      <c r="H343" s="23">
        <v>12</v>
      </c>
      <c r="I343" s="23" t="s">
        <v>728</v>
      </c>
      <c r="J343" s="25" t="b">
        <v>0</v>
      </c>
      <c r="K343" s="25" t="b">
        <v>0</v>
      </c>
      <c r="L343" s="23">
        <v>1</v>
      </c>
      <c r="M343" s="23" t="s">
        <v>17</v>
      </c>
      <c r="N343" s="23" t="s">
        <v>17</v>
      </c>
      <c r="O343" s="23" t="s">
        <v>12</v>
      </c>
      <c r="P343" s="36" t="s">
        <v>13</v>
      </c>
    </row>
    <row r="344" spans="1:16" s="8" customFormat="1" ht="16" customHeight="1">
      <c r="A344" s="35" t="s">
        <v>22</v>
      </c>
      <c r="B344" s="23" t="s">
        <v>1330</v>
      </c>
      <c r="C344" s="24" t="s">
        <v>1211</v>
      </c>
      <c r="D344" s="24" t="s">
        <v>285</v>
      </c>
      <c r="E344" s="24" t="s">
        <v>286</v>
      </c>
      <c r="F344" s="23">
        <v>12</v>
      </c>
      <c r="G344" s="23" t="s">
        <v>1053</v>
      </c>
      <c r="H344" s="23">
        <v>12</v>
      </c>
      <c r="I344" s="23" t="s">
        <v>649</v>
      </c>
      <c r="J344" s="25" t="b">
        <v>0</v>
      </c>
      <c r="K344" s="25" t="b">
        <v>0</v>
      </c>
      <c r="L344" s="23">
        <v>1</v>
      </c>
      <c r="M344" s="23" t="s">
        <v>17</v>
      </c>
      <c r="N344" s="23" t="s">
        <v>17</v>
      </c>
      <c r="O344" s="23" t="s">
        <v>12</v>
      </c>
      <c r="P344" s="36" t="s">
        <v>13</v>
      </c>
    </row>
    <row r="345" spans="1:16" s="8" customFormat="1" ht="16" customHeight="1">
      <c r="A345" s="35" t="s">
        <v>22</v>
      </c>
      <c r="B345" s="23" t="s">
        <v>1330</v>
      </c>
      <c r="C345" s="24" t="s">
        <v>1212</v>
      </c>
      <c r="D345" s="24" t="s">
        <v>311</v>
      </c>
      <c r="E345" s="24" t="s">
        <v>312</v>
      </c>
      <c r="F345" s="23">
        <v>12</v>
      </c>
      <c r="G345" s="23" t="s">
        <v>1039</v>
      </c>
      <c r="H345" s="23">
        <v>12</v>
      </c>
      <c r="I345" s="23" t="s">
        <v>1076</v>
      </c>
      <c r="J345" s="25" t="b">
        <v>0</v>
      </c>
      <c r="K345" s="25" t="b">
        <v>0</v>
      </c>
      <c r="L345" s="23">
        <v>1</v>
      </c>
      <c r="M345" s="23" t="s">
        <v>17</v>
      </c>
      <c r="N345" s="23" t="s">
        <v>17</v>
      </c>
      <c r="O345" s="23" t="s">
        <v>12</v>
      </c>
      <c r="P345" s="36" t="s">
        <v>13</v>
      </c>
    </row>
    <row r="346" spans="1:16" s="8" customFormat="1" ht="16" customHeight="1">
      <c r="A346" s="35" t="s">
        <v>63</v>
      </c>
      <c r="B346" s="23" t="s">
        <v>1330</v>
      </c>
      <c r="C346" s="24" t="s">
        <v>1197</v>
      </c>
      <c r="D346" s="24" t="s">
        <v>268</v>
      </c>
      <c r="E346" s="24" t="s">
        <v>269</v>
      </c>
      <c r="F346" s="23">
        <v>12</v>
      </c>
      <c r="G346" s="23" t="s">
        <v>722</v>
      </c>
      <c r="H346" s="23">
        <v>12</v>
      </c>
      <c r="I346" s="23" t="s">
        <v>605</v>
      </c>
      <c r="J346" s="25" t="b">
        <v>0</v>
      </c>
      <c r="K346" s="25" t="b">
        <v>1</v>
      </c>
      <c r="L346" s="23">
        <v>1</v>
      </c>
      <c r="M346" s="23" t="s">
        <v>17</v>
      </c>
      <c r="N346" s="23" t="s">
        <v>17</v>
      </c>
      <c r="O346" s="23" t="s">
        <v>12</v>
      </c>
      <c r="P346" s="36" t="s">
        <v>13</v>
      </c>
    </row>
    <row r="347" spans="1:16" s="8" customFormat="1" ht="16" customHeight="1">
      <c r="A347" s="35" t="s">
        <v>33</v>
      </c>
      <c r="B347" s="23" t="s">
        <v>1330</v>
      </c>
      <c r="C347" s="24" t="s">
        <v>1213</v>
      </c>
      <c r="D347" s="24" t="s">
        <v>136</v>
      </c>
      <c r="E347" s="24" t="s">
        <v>281</v>
      </c>
      <c r="F347" s="23">
        <v>12</v>
      </c>
      <c r="G347" s="23" t="s">
        <v>653</v>
      </c>
      <c r="H347" s="23">
        <v>12</v>
      </c>
      <c r="I347" s="23" t="s">
        <v>635</v>
      </c>
      <c r="J347" s="25" t="b">
        <v>1</v>
      </c>
      <c r="K347" s="25" t="b">
        <v>1</v>
      </c>
      <c r="L347" s="23">
        <v>1</v>
      </c>
      <c r="M347" s="23" t="s">
        <v>17</v>
      </c>
      <c r="N347" s="23" t="s">
        <v>17</v>
      </c>
      <c r="O347" s="23" t="s">
        <v>12</v>
      </c>
      <c r="P347" s="36" t="s">
        <v>13</v>
      </c>
    </row>
    <row r="348" spans="1:16" s="8" customFormat="1" ht="16" customHeight="1">
      <c r="A348" s="35" t="s">
        <v>25</v>
      </c>
      <c r="B348" s="23" t="s">
        <v>1330</v>
      </c>
      <c r="C348" s="24" t="s">
        <v>1215</v>
      </c>
      <c r="D348" s="24" t="s">
        <v>287</v>
      </c>
      <c r="E348" s="24" t="s">
        <v>256</v>
      </c>
      <c r="F348" s="23">
        <v>12</v>
      </c>
      <c r="G348" s="23" t="s">
        <v>635</v>
      </c>
      <c r="H348" s="23">
        <v>12</v>
      </c>
      <c r="I348" s="23" t="s">
        <v>605</v>
      </c>
      <c r="J348" s="25" t="b">
        <v>1</v>
      </c>
      <c r="K348" s="25" t="b">
        <v>1</v>
      </c>
      <c r="L348" s="23">
        <v>1</v>
      </c>
      <c r="M348" s="23" t="s">
        <v>17</v>
      </c>
      <c r="N348" s="23" t="s">
        <v>17</v>
      </c>
      <c r="O348" s="23" t="s">
        <v>12</v>
      </c>
      <c r="P348" s="36" t="s">
        <v>13</v>
      </c>
    </row>
    <row r="349" spans="1:16" s="8" customFormat="1" ht="16" customHeight="1">
      <c r="A349" s="35" t="s">
        <v>93</v>
      </c>
      <c r="B349" s="23" t="s">
        <v>1330</v>
      </c>
      <c r="C349" s="24" t="s">
        <v>1214</v>
      </c>
      <c r="D349" s="24" t="s">
        <v>545</v>
      </c>
      <c r="E349" s="24" t="s">
        <v>256</v>
      </c>
      <c r="F349" s="23">
        <v>12</v>
      </c>
      <c r="G349" s="23" t="s">
        <v>619</v>
      </c>
      <c r="H349" s="23">
        <v>12</v>
      </c>
      <c r="I349" s="23" t="s">
        <v>605</v>
      </c>
      <c r="J349" s="25" t="b">
        <v>0</v>
      </c>
      <c r="K349" s="25" t="b">
        <v>1</v>
      </c>
      <c r="L349" s="23">
        <v>1</v>
      </c>
      <c r="M349" s="23" t="s">
        <v>17</v>
      </c>
      <c r="N349" s="23" t="s">
        <v>17</v>
      </c>
      <c r="O349" s="23" t="s">
        <v>12</v>
      </c>
      <c r="P349" s="36" t="s">
        <v>13</v>
      </c>
    </row>
    <row r="350" spans="1:16" s="8" customFormat="1" ht="16" customHeight="1">
      <c r="A350" s="35" t="s">
        <v>22</v>
      </c>
      <c r="B350" s="23" t="s">
        <v>1330</v>
      </c>
      <c r="C350" s="24" t="s">
        <v>1216</v>
      </c>
      <c r="D350" s="24" t="s">
        <v>279</v>
      </c>
      <c r="E350" s="24" t="s">
        <v>280</v>
      </c>
      <c r="F350" s="23">
        <v>12</v>
      </c>
      <c r="G350" s="23" t="s">
        <v>1064</v>
      </c>
      <c r="H350" s="23">
        <v>12</v>
      </c>
      <c r="I350" s="23" t="s">
        <v>1091</v>
      </c>
      <c r="J350" s="25" t="b">
        <v>0</v>
      </c>
      <c r="K350" s="25" t="b">
        <v>0</v>
      </c>
      <c r="L350" s="23">
        <v>1</v>
      </c>
      <c r="M350" s="23" t="s">
        <v>17</v>
      </c>
      <c r="N350" s="23" t="s">
        <v>17</v>
      </c>
      <c r="O350" s="23" t="s">
        <v>12</v>
      </c>
      <c r="P350" s="36" t="s">
        <v>13</v>
      </c>
    </row>
    <row r="351" spans="1:16" s="8" customFormat="1" ht="16" customHeight="1">
      <c r="A351" s="35" t="s">
        <v>30</v>
      </c>
      <c r="B351" s="23" t="s">
        <v>1330</v>
      </c>
      <c r="C351" s="24" t="s">
        <v>1217</v>
      </c>
      <c r="D351" s="24" t="s">
        <v>125</v>
      </c>
      <c r="E351" s="24" t="s">
        <v>261</v>
      </c>
      <c r="F351" s="23">
        <v>12</v>
      </c>
      <c r="G351" s="23" t="s">
        <v>605</v>
      </c>
      <c r="H351" s="23">
        <v>12</v>
      </c>
      <c r="I351" s="23" t="s">
        <v>605</v>
      </c>
      <c r="J351" s="25" t="b">
        <v>1</v>
      </c>
      <c r="K351" s="25" t="b">
        <v>0</v>
      </c>
      <c r="L351" s="23">
        <v>1</v>
      </c>
      <c r="M351" s="23" t="s">
        <v>17</v>
      </c>
      <c r="N351" s="23" t="s">
        <v>17</v>
      </c>
      <c r="O351" s="23" t="s">
        <v>12</v>
      </c>
      <c r="P351" s="36" t="s">
        <v>13</v>
      </c>
    </row>
    <row r="352" spans="1:16" s="8" customFormat="1" ht="16" customHeight="1">
      <c r="A352" s="35" t="s">
        <v>46</v>
      </c>
      <c r="B352" s="23" t="s">
        <v>1330</v>
      </c>
      <c r="C352" s="24" t="s">
        <v>1218</v>
      </c>
      <c r="D352" s="24" t="s">
        <v>273</v>
      </c>
      <c r="E352" s="24" t="s">
        <v>274</v>
      </c>
      <c r="F352" s="23">
        <v>12</v>
      </c>
      <c r="G352" s="23" t="s">
        <v>1059</v>
      </c>
      <c r="H352" s="23">
        <v>12</v>
      </c>
      <c r="I352" s="23" t="s">
        <v>1074</v>
      </c>
      <c r="J352" s="25" t="b">
        <v>0</v>
      </c>
      <c r="K352" s="25" t="b">
        <v>0</v>
      </c>
      <c r="L352" s="23">
        <v>1</v>
      </c>
      <c r="M352" s="23" t="s">
        <v>17</v>
      </c>
      <c r="N352" s="23" t="s">
        <v>17</v>
      </c>
      <c r="O352" s="23" t="s">
        <v>12</v>
      </c>
      <c r="P352" s="36" t="s">
        <v>13</v>
      </c>
    </row>
    <row r="353" spans="1:16" s="8" customFormat="1" ht="16" customHeight="1">
      <c r="A353" s="35" t="s">
        <v>22</v>
      </c>
      <c r="B353" s="23" t="s">
        <v>1330</v>
      </c>
      <c r="C353" s="24" t="s">
        <v>1219</v>
      </c>
      <c r="D353" s="24" t="s">
        <v>294</v>
      </c>
      <c r="E353" s="24" t="s">
        <v>295</v>
      </c>
      <c r="F353" s="23">
        <v>12</v>
      </c>
      <c r="G353" s="23" t="s">
        <v>1029</v>
      </c>
      <c r="H353" s="23">
        <v>12</v>
      </c>
      <c r="I353" s="23" t="s">
        <v>1074</v>
      </c>
      <c r="J353" s="25" t="b">
        <v>0</v>
      </c>
      <c r="K353" s="25" t="b">
        <v>0</v>
      </c>
      <c r="L353" s="23">
        <v>1</v>
      </c>
      <c r="M353" s="23" t="s">
        <v>17</v>
      </c>
      <c r="N353" s="23" t="s">
        <v>17</v>
      </c>
      <c r="O353" s="23" t="s">
        <v>12</v>
      </c>
      <c r="P353" s="36" t="s">
        <v>13</v>
      </c>
    </row>
    <row r="354" spans="1:16" s="8" customFormat="1" ht="16" customHeight="1">
      <c r="A354" s="35" t="s">
        <v>38</v>
      </c>
      <c r="B354" s="23" t="s">
        <v>1330</v>
      </c>
      <c r="C354" s="24" t="s">
        <v>1220</v>
      </c>
      <c r="D354" s="24" t="s">
        <v>283</v>
      </c>
      <c r="E354" s="24" t="s">
        <v>284</v>
      </c>
      <c r="F354" s="23">
        <v>12</v>
      </c>
      <c r="G354" s="23" t="s">
        <v>1078</v>
      </c>
      <c r="H354" s="23">
        <v>12</v>
      </c>
      <c r="I354" s="23" t="s">
        <v>1039</v>
      </c>
      <c r="J354" s="25" t="b">
        <v>1</v>
      </c>
      <c r="K354" s="25" t="b">
        <v>0</v>
      </c>
      <c r="L354" s="23">
        <v>1</v>
      </c>
      <c r="M354" s="23" t="s">
        <v>17</v>
      </c>
      <c r="N354" s="23" t="s">
        <v>17</v>
      </c>
      <c r="O354" s="23" t="s">
        <v>12</v>
      </c>
      <c r="P354" s="36" t="s">
        <v>13</v>
      </c>
    </row>
    <row r="355" spans="1:16" s="8" customFormat="1" ht="16" customHeight="1">
      <c r="A355" s="35" t="s">
        <v>31</v>
      </c>
      <c r="B355" s="23" t="s">
        <v>1330</v>
      </c>
      <c r="C355" s="24" t="s">
        <v>1284</v>
      </c>
      <c r="D355" s="24" t="s">
        <v>125</v>
      </c>
      <c r="E355" s="24" t="s">
        <v>318</v>
      </c>
      <c r="F355" s="23">
        <v>12</v>
      </c>
      <c r="G355" s="23" t="s">
        <v>605</v>
      </c>
      <c r="H355" s="23">
        <v>4</v>
      </c>
      <c r="I355" s="23" t="s">
        <v>1068</v>
      </c>
      <c r="J355" s="25" t="b">
        <v>1</v>
      </c>
      <c r="K355" s="25" t="b">
        <v>0</v>
      </c>
      <c r="L355" s="23">
        <v>1</v>
      </c>
      <c r="M355" s="23" t="s">
        <v>17</v>
      </c>
      <c r="N355" s="23" t="s">
        <v>17</v>
      </c>
      <c r="O355" s="23" t="s">
        <v>12</v>
      </c>
      <c r="P355" s="36" t="s">
        <v>13</v>
      </c>
    </row>
    <row r="356" spans="1:16" s="8" customFormat="1" ht="16" customHeight="1">
      <c r="A356" s="35" t="s">
        <v>50</v>
      </c>
      <c r="B356" s="23" t="s">
        <v>1330</v>
      </c>
      <c r="C356" s="24" t="s">
        <v>1221</v>
      </c>
      <c r="D356" s="24" t="s">
        <v>271</v>
      </c>
      <c r="E356" s="24" t="s">
        <v>272</v>
      </c>
      <c r="F356" s="23">
        <v>12</v>
      </c>
      <c r="G356" s="23" t="s">
        <v>1064</v>
      </c>
      <c r="H356" s="23">
        <v>12</v>
      </c>
      <c r="I356" s="23" t="s">
        <v>1064</v>
      </c>
      <c r="J356" s="25" t="b">
        <v>0</v>
      </c>
      <c r="K356" s="25" t="b">
        <v>0</v>
      </c>
      <c r="L356" s="23">
        <v>1</v>
      </c>
      <c r="M356" s="23" t="s">
        <v>17</v>
      </c>
      <c r="N356" s="23" t="s">
        <v>17</v>
      </c>
      <c r="O356" s="23" t="s">
        <v>12</v>
      </c>
      <c r="P356" s="36" t="s">
        <v>13</v>
      </c>
    </row>
    <row r="357" spans="1:16" s="8" customFormat="1" ht="16" customHeight="1">
      <c r="A357" s="35" t="s">
        <v>31</v>
      </c>
      <c r="B357" s="23" t="s">
        <v>1330</v>
      </c>
      <c r="C357" s="24" t="s">
        <v>1314</v>
      </c>
      <c r="D357" s="24" t="s">
        <v>254</v>
      </c>
      <c r="E357" s="24" t="s">
        <v>319</v>
      </c>
      <c r="F357" s="23">
        <v>12</v>
      </c>
      <c r="G357" s="23" t="s">
        <v>619</v>
      </c>
      <c r="H357" s="23">
        <v>8</v>
      </c>
      <c r="I357" s="23" t="s">
        <v>674</v>
      </c>
      <c r="J357" s="25" t="b">
        <v>0</v>
      </c>
      <c r="K357" s="25" t="b">
        <v>0</v>
      </c>
      <c r="L357" s="23">
        <v>1</v>
      </c>
      <c r="M357" s="23" t="s">
        <v>17</v>
      </c>
      <c r="N357" s="23" t="s">
        <v>17</v>
      </c>
      <c r="O357" s="23" t="s">
        <v>12</v>
      </c>
      <c r="P357" s="36" t="s">
        <v>13</v>
      </c>
    </row>
    <row r="358" spans="1:16" s="8" customFormat="1" ht="16" customHeight="1">
      <c r="A358" s="35" t="s">
        <v>110</v>
      </c>
      <c r="B358" s="23" t="s">
        <v>1330</v>
      </c>
      <c r="C358" s="24" t="s">
        <v>1222</v>
      </c>
      <c r="D358" s="24" t="s">
        <v>266</v>
      </c>
      <c r="E358" s="24" t="s">
        <v>267</v>
      </c>
      <c r="F358" s="23">
        <v>12</v>
      </c>
      <c r="G358" s="23" t="s">
        <v>728</v>
      </c>
      <c r="H358" s="23">
        <v>12</v>
      </c>
      <c r="I358" s="23" t="s">
        <v>728</v>
      </c>
      <c r="J358" s="25" t="b">
        <v>0</v>
      </c>
      <c r="K358" s="25" t="b">
        <v>0</v>
      </c>
      <c r="L358" s="23">
        <v>1</v>
      </c>
      <c r="M358" s="23" t="s">
        <v>17</v>
      </c>
      <c r="N358" s="23" t="s">
        <v>17</v>
      </c>
      <c r="O358" s="23" t="s">
        <v>12</v>
      </c>
      <c r="P358" s="36" t="s">
        <v>13</v>
      </c>
    </row>
    <row r="359" spans="1:16" s="8" customFormat="1" ht="16" customHeight="1">
      <c r="A359" s="35" t="s">
        <v>22</v>
      </c>
      <c r="B359" s="23" t="s">
        <v>1330</v>
      </c>
      <c r="C359" s="24" t="s">
        <v>1223</v>
      </c>
      <c r="D359" s="24" t="s">
        <v>299</v>
      </c>
      <c r="E359" s="24" t="s">
        <v>300</v>
      </c>
      <c r="F359" s="23">
        <v>12</v>
      </c>
      <c r="G359" s="23" t="s">
        <v>1041</v>
      </c>
      <c r="H359" s="23">
        <v>12</v>
      </c>
      <c r="I359" s="23" t="s">
        <v>910</v>
      </c>
      <c r="J359" s="25" t="b">
        <v>0</v>
      </c>
      <c r="K359" s="25" t="b">
        <v>0</v>
      </c>
      <c r="L359" s="23">
        <v>1</v>
      </c>
      <c r="M359" s="23" t="s">
        <v>17</v>
      </c>
      <c r="N359" s="23" t="s">
        <v>17</v>
      </c>
      <c r="O359" s="23" t="s">
        <v>12</v>
      </c>
      <c r="P359" s="36" t="s">
        <v>13</v>
      </c>
    </row>
    <row r="360" spans="1:16" s="8" customFormat="1" ht="16" customHeight="1">
      <c r="A360" s="35" t="s">
        <v>22</v>
      </c>
      <c r="B360" s="23" t="s">
        <v>1330</v>
      </c>
      <c r="C360" s="24" t="s">
        <v>1224</v>
      </c>
      <c r="D360" s="24" t="s">
        <v>301</v>
      </c>
      <c r="E360" s="24" t="s">
        <v>302</v>
      </c>
      <c r="F360" s="23">
        <v>12</v>
      </c>
      <c r="G360" s="23" t="s">
        <v>605</v>
      </c>
      <c r="H360" s="23">
        <v>12</v>
      </c>
      <c r="I360" s="23" t="s">
        <v>1039</v>
      </c>
      <c r="J360" s="25" t="b">
        <v>0</v>
      </c>
      <c r="K360" s="25" t="b">
        <v>0</v>
      </c>
      <c r="L360" s="23">
        <v>1</v>
      </c>
      <c r="M360" s="23" t="s">
        <v>17</v>
      </c>
      <c r="N360" s="23" t="s">
        <v>17</v>
      </c>
      <c r="O360" s="23" t="s">
        <v>12</v>
      </c>
      <c r="P360" s="36" t="s">
        <v>13</v>
      </c>
    </row>
    <row r="361" spans="1:16" s="8" customFormat="1" ht="16" customHeight="1">
      <c r="A361" s="35" t="s">
        <v>27</v>
      </c>
      <c r="B361" s="23" t="s">
        <v>1330</v>
      </c>
      <c r="C361" s="24" t="s">
        <v>1238</v>
      </c>
      <c r="D361" s="24" t="s">
        <v>314</v>
      </c>
      <c r="E361" s="24" t="s">
        <v>315</v>
      </c>
      <c r="F361" s="23">
        <v>12</v>
      </c>
      <c r="G361" s="23" t="s">
        <v>722</v>
      </c>
      <c r="H361" s="23">
        <v>16</v>
      </c>
      <c r="I361" s="23" t="s">
        <v>845</v>
      </c>
      <c r="J361" s="25" t="b">
        <v>0</v>
      </c>
      <c r="K361" s="25" t="b">
        <v>0</v>
      </c>
      <c r="L361" s="23">
        <v>1</v>
      </c>
      <c r="M361" s="23" t="s">
        <v>17</v>
      </c>
      <c r="N361" s="23" t="s">
        <v>17</v>
      </c>
      <c r="O361" s="23" t="s">
        <v>12</v>
      </c>
      <c r="P361" s="36" t="s">
        <v>13</v>
      </c>
    </row>
    <row r="362" spans="1:16" s="8" customFormat="1" ht="16" customHeight="1">
      <c r="A362" s="35" t="s">
        <v>63</v>
      </c>
      <c r="B362" s="23" t="s">
        <v>1330</v>
      </c>
      <c r="C362" s="24" t="s">
        <v>1226</v>
      </c>
      <c r="D362" s="24" t="s">
        <v>320</v>
      </c>
      <c r="E362" s="24" t="s">
        <v>321</v>
      </c>
      <c r="F362" s="23">
        <v>13</v>
      </c>
      <c r="G362" s="23" t="s">
        <v>1095</v>
      </c>
      <c r="H362" s="23">
        <v>13</v>
      </c>
      <c r="I362" s="23" t="s">
        <v>1095</v>
      </c>
      <c r="J362" s="25" t="b">
        <v>0</v>
      </c>
      <c r="K362" s="25" t="b">
        <v>0</v>
      </c>
      <c r="L362" s="23">
        <v>1</v>
      </c>
      <c r="M362" s="23" t="s">
        <v>17</v>
      </c>
      <c r="N362" s="23" t="s">
        <v>17</v>
      </c>
      <c r="O362" s="23" t="s">
        <v>12</v>
      </c>
      <c r="P362" s="36" t="s">
        <v>13</v>
      </c>
    </row>
    <row r="363" spans="1:16" s="8" customFormat="1" ht="16" customHeight="1">
      <c r="A363" s="35" t="s">
        <v>50</v>
      </c>
      <c r="B363" s="23" t="s">
        <v>1330</v>
      </c>
      <c r="C363" s="24" t="s">
        <v>1227</v>
      </c>
      <c r="D363" s="24" t="s">
        <v>326</v>
      </c>
      <c r="E363" s="24" t="s">
        <v>327</v>
      </c>
      <c r="F363" s="23">
        <v>13</v>
      </c>
      <c r="G363" s="23" t="s">
        <v>774</v>
      </c>
      <c r="H363" s="23">
        <v>13</v>
      </c>
      <c r="I363" s="23" t="s">
        <v>620</v>
      </c>
      <c r="J363" s="25" t="b">
        <v>0</v>
      </c>
      <c r="K363" s="25" t="b">
        <v>0</v>
      </c>
      <c r="L363" s="23">
        <v>1</v>
      </c>
      <c r="M363" s="23" t="s">
        <v>17</v>
      </c>
      <c r="N363" s="23" t="s">
        <v>17</v>
      </c>
      <c r="O363" s="23" t="s">
        <v>12</v>
      </c>
      <c r="P363" s="36" t="s">
        <v>13</v>
      </c>
    </row>
    <row r="364" spans="1:16" s="8" customFormat="1" ht="16" customHeight="1">
      <c r="A364" s="35" t="s">
        <v>24</v>
      </c>
      <c r="B364" s="23" t="s">
        <v>1330</v>
      </c>
      <c r="C364" s="24" t="s">
        <v>1247</v>
      </c>
      <c r="D364" s="24" t="s">
        <v>328</v>
      </c>
      <c r="E364" s="24" t="s">
        <v>221</v>
      </c>
      <c r="F364" s="23">
        <v>13</v>
      </c>
      <c r="G364" s="23" t="s">
        <v>1090</v>
      </c>
      <c r="H364" s="23">
        <v>17</v>
      </c>
      <c r="I364" s="23" t="s">
        <v>636</v>
      </c>
      <c r="J364" s="25" t="b">
        <v>0</v>
      </c>
      <c r="K364" s="25" t="b">
        <v>0</v>
      </c>
      <c r="L364" s="23">
        <v>1</v>
      </c>
      <c r="M364" s="23" t="s">
        <v>17</v>
      </c>
      <c r="N364" s="23" t="s">
        <v>17</v>
      </c>
      <c r="O364" s="23" t="s">
        <v>12</v>
      </c>
      <c r="P364" s="36" t="s">
        <v>13</v>
      </c>
    </row>
    <row r="365" spans="1:16" s="8" customFormat="1" ht="16" customHeight="1">
      <c r="A365" s="35" t="s">
        <v>67</v>
      </c>
      <c r="B365" s="23" t="s">
        <v>1330</v>
      </c>
      <c r="C365" s="24" t="s">
        <v>1228</v>
      </c>
      <c r="D365" s="24" t="s">
        <v>322</v>
      </c>
      <c r="E365" s="24" t="s">
        <v>323</v>
      </c>
      <c r="F365" s="23">
        <v>13</v>
      </c>
      <c r="G365" s="23" t="s">
        <v>620</v>
      </c>
      <c r="H365" s="23">
        <v>13</v>
      </c>
      <c r="I365" s="23" t="s">
        <v>620</v>
      </c>
      <c r="J365" s="25" t="b">
        <v>0</v>
      </c>
      <c r="K365" s="25" t="b">
        <v>0</v>
      </c>
      <c r="L365" s="23">
        <v>1</v>
      </c>
      <c r="M365" s="23" t="s">
        <v>17</v>
      </c>
      <c r="N365" s="23" t="s">
        <v>17</v>
      </c>
      <c r="O365" s="23" t="s">
        <v>12</v>
      </c>
      <c r="P365" s="36" t="s">
        <v>13</v>
      </c>
    </row>
    <row r="366" spans="1:16" s="8" customFormat="1" ht="16" customHeight="1">
      <c r="A366" s="35" t="s">
        <v>52</v>
      </c>
      <c r="B366" s="23" t="s">
        <v>1330</v>
      </c>
      <c r="C366" s="24" t="s">
        <v>1229</v>
      </c>
      <c r="D366" s="24" t="s">
        <v>324</v>
      </c>
      <c r="E366" s="24" t="s">
        <v>325</v>
      </c>
      <c r="F366" s="23">
        <v>13</v>
      </c>
      <c r="G366" s="23" t="s">
        <v>821</v>
      </c>
      <c r="H366" s="23">
        <v>13</v>
      </c>
      <c r="I366" s="23" t="s">
        <v>821</v>
      </c>
      <c r="J366" s="25" t="b">
        <v>0</v>
      </c>
      <c r="K366" s="25" t="b">
        <v>1</v>
      </c>
      <c r="L366" s="23">
        <v>1</v>
      </c>
      <c r="M366" s="23" t="s">
        <v>17</v>
      </c>
      <c r="N366" s="23" t="s">
        <v>17</v>
      </c>
      <c r="O366" s="23" t="s">
        <v>12</v>
      </c>
      <c r="P366" s="36" t="s">
        <v>13</v>
      </c>
    </row>
    <row r="367" spans="1:16" s="8" customFormat="1" ht="16" customHeight="1">
      <c r="A367" s="35" t="s">
        <v>50</v>
      </c>
      <c r="B367" s="23" t="s">
        <v>1330</v>
      </c>
      <c r="C367" s="24" t="s">
        <v>1271</v>
      </c>
      <c r="D367" s="24" t="s">
        <v>333</v>
      </c>
      <c r="E367" s="24" t="s">
        <v>334</v>
      </c>
      <c r="F367" s="23">
        <v>14</v>
      </c>
      <c r="G367" s="23" t="s">
        <v>1071</v>
      </c>
      <c r="H367" s="23">
        <v>22</v>
      </c>
      <c r="I367" s="23" t="s">
        <v>1086</v>
      </c>
      <c r="J367" s="25" t="b">
        <v>0</v>
      </c>
      <c r="K367" s="25" t="b">
        <v>0</v>
      </c>
      <c r="L367" s="23">
        <v>1</v>
      </c>
      <c r="M367" s="23" t="s">
        <v>17</v>
      </c>
      <c r="N367" s="23" t="s">
        <v>17</v>
      </c>
      <c r="O367" s="23" t="s">
        <v>12</v>
      </c>
      <c r="P367" s="36" t="s">
        <v>13</v>
      </c>
    </row>
    <row r="368" spans="1:16" s="8" customFormat="1" ht="16" customHeight="1">
      <c r="A368" s="35" t="s">
        <v>61</v>
      </c>
      <c r="B368" s="23" t="s">
        <v>1330</v>
      </c>
      <c r="C368" s="24" t="s">
        <v>1233</v>
      </c>
      <c r="D368" s="24" t="s">
        <v>329</v>
      </c>
      <c r="E368" s="24" t="s">
        <v>330</v>
      </c>
      <c r="F368" s="23">
        <v>14</v>
      </c>
      <c r="G368" s="23" t="s">
        <v>649</v>
      </c>
      <c r="H368" s="23">
        <v>14</v>
      </c>
      <c r="I368" s="23" t="s">
        <v>1067</v>
      </c>
      <c r="J368" s="25" t="b">
        <v>0</v>
      </c>
      <c r="K368" s="25" t="b">
        <v>0</v>
      </c>
      <c r="L368" s="23">
        <v>1</v>
      </c>
      <c r="M368" s="23" t="s">
        <v>17</v>
      </c>
      <c r="N368" s="23" t="s">
        <v>17</v>
      </c>
      <c r="O368" s="23" t="s">
        <v>12</v>
      </c>
      <c r="P368" s="36" t="s">
        <v>13</v>
      </c>
    </row>
    <row r="369" spans="1:16" s="8" customFormat="1" ht="16" customHeight="1">
      <c r="A369" s="35" t="s">
        <v>93</v>
      </c>
      <c r="B369" s="23" t="s">
        <v>1330</v>
      </c>
      <c r="C369" s="24" t="s">
        <v>1234</v>
      </c>
      <c r="D369" s="24" t="s">
        <v>331</v>
      </c>
      <c r="E369" s="24" t="s">
        <v>332</v>
      </c>
      <c r="F369" s="23">
        <v>14</v>
      </c>
      <c r="G369" s="23" t="s">
        <v>969</v>
      </c>
      <c r="H369" s="23">
        <v>14</v>
      </c>
      <c r="I369" s="23" t="s">
        <v>609</v>
      </c>
      <c r="J369" s="25" t="b">
        <v>0</v>
      </c>
      <c r="K369" s="25" t="b">
        <v>0</v>
      </c>
      <c r="L369" s="23">
        <v>1</v>
      </c>
      <c r="M369" s="23" t="s">
        <v>17</v>
      </c>
      <c r="N369" s="23" t="s">
        <v>17</v>
      </c>
      <c r="O369" s="23" t="s">
        <v>12</v>
      </c>
      <c r="P369" s="36" t="s">
        <v>13</v>
      </c>
    </row>
    <row r="370" spans="1:16" s="8" customFormat="1" ht="16" customHeight="1">
      <c r="A370" s="35" t="s">
        <v>93</v>
      </c>
      <c r="B370" s="23" t="s">
        <v>1330</v>
      </c>
      <c r="C370" s="24" t="s">
        <v>1294</v>
      </c>
      <c r="D370" s="24" t="s">
        <v>335</v>
      </c>
      <c r="E370" s="24" t="s">
        <v>336</v>
      </c>
      <c r="F370" s="23">
        <v>14</v>
      </c>
      <c r="G370" s="23" t="s">
        <v>969</v>
      </c>
      <c r="H370" s="23">
        <v>5</v>
      </c>
      <c r="I370" s="23" t="s">
        <v>1085</v>
      </c>
      <c r="J370" s="25" t="b">
        <v>0</v>
      </c>
      <c r="K370" s="25" t="b">
        <v>0</v>
      </c>
      <c r="L370" s="23">
        <v>1</v>
      </c>
      <c r="M370" s="23" t="s">
        <v>17</v>
      </c>
      <c r="N370" s="23" t="s">
        <v>17</v>
      </c>
      <c r="O370" s="23" t="s">
        <v>12</v>
      </c>
      <c r="P370" s="36" t="s">
        <v>13</v>
      </c>
    </row>
    <row r="371" spans="1:16" s="8" customFormat="1" ht="16" customHeight="1">
      <c r="A371" s="35" t="s">
        <v>115</v>
      </c>
      <c r="B371" s="23" t="s">
        <v>1330</v>
      </c>
      <c r="C371" s="24" t="s">
        <v>1302</v>
      </c>
      <c r="D371" s="24" t="s">
        <v>337</v>
      </c>
      <c r="E371" s="24" t="s">
        <v>338</v>
      </c>
      <c r="F371" s="23">
        <v>15</v>
      </c>
      <c r="G371" s="23" t="s">
        <v>882</v>
      </c>
      <c r="H371" s="23">
        <v>7</v>
      </c>
      <c r="I371" s="23" t="s">
        <v>891</v>
      </c>
      <c r="J371" s="25" t="b">
        <v>0</v>
      </c>
      <c r="K371" s="25" t="b">
        <v>0</v>
      </c>
      <c r="L371" s="23">
        <v>1</v>
      </c>
      <c r="M371" s="23" t="s">
        <v>17</v>
      </c>
      <c r="N371" s="23" t="s">
        <v>17</v>
      </c>
      <c r="O371" s="23" t="s">
        <v>12</v>
      </c>
      <c r="P371" s="36" t="s">
        <v>13</v>
      </c>
    </row>
    <row r="372" spans="1:16" s="8" customFormat="1" ht="16" customHeight="1">
      <c r="A372" s="35" t="s">
        <v>58</v>
      </c>
      <c r="B372" s="23" t="s">
        <v>1330</v>
      </c>
      <c r="C372" s="24" t="s">
        <v>1323</v>
      </c>
      <c r="D372" s="24" t="s">
        <v>357</v>
      </c>
      <c r="E372" s="24" t="s">
        <v>358</v>
      </c>
      <c r="F372" s="23">
        <v>16</v>
      </c>
      <c r="G372" s="23" t="s">
        <v>910</v>
      </c>
      <c r="H372" s="23" t="s">
        <v>952</v>
      </c>
      <c r="I372" s="23" t="s">
        <v>886</v>
      </c>
      <c r="J372" s="25" t="b">
        <v>0</v>
      </c>
      <c r="K372" s="25" t="b">
        <v>0</v>
      </c>
      <c r="L372" s="23">
        <v>1</v>
      </c>
      <c r="M372" s="23" t="s">
        <v>17</v>
      </c>
      <c r="N372" s="23" t="s">
        <v>17</v>
      </c>
      <c r="O372" s="23" t="s">
        <v>12</v>
      </c>
      <c r="P372" s="36" t="s">
        <v>13</v>
      </c>
    </row>
    <row r="373" spans="1:16" s="8" customFormat="1" ht="16" customHeight="1">
      <c r="A373" s="35" t="s">
        <v>115</v>
      </c>
      <c r="B373" s="23" t="s">
        <v>1330</v>
      </c>
      <c r="C373" s="24" t="s">
        <v>1242</v>
      </c>
      <c r="D373" s="24" t="s">
        <v>339</v>
      </c>
      <c r="E373" s="24" t="s">
        <v>340</v>
      </c>
      <c r="F373" s="23">
        <v>16</v>
      </c>
      <c r="G373" s="23" t="s">
        <v>979</v>
      </c>
      <c r="H373" s="23">
        <v>16</v>
      </c>
      <c r="I373" s="23" t="s">
        <v>979</v>
      </c>
      <c r="J373" s="25" t="b">
        <v>1</v>
      </c>
      <c r="K373" s="25" t="b">
        <v>0</v>
      </c>
      <c r="L373" s="23">
        <v>1</v>
      </c>
      <c r="M373" s="23" t="s">
        <v>17</v>
      </c>
      <c r="N373" s="23" t="s">
        <v>17</v>
      </c>
      <c r="O373" s="23" t="s">
        <v>12</v>
      </c>
      <c r="P373" s="36" t="s">
        <v>13</v>
      </c>
    </row>
    <row r="374" spans="1:16" s="8" customFormat="1" ht="16" customHeight="1">
      <c r="A374" s="35" t="s">
        <v>35</v>
      </c>
      <c r="B374" s="23" t="s">
        <v>1330</v>
      </c>
      <c r="C374" s="24" t="s">
        <v>1243</v>
      </c>
      <c r="D374" s="24" t="s">
        <v>349</v>
      </c>
      <c r="E374" s="24" t="s">
        <v>350</v>
      </c>
      <c r="F374" s="23">
        <v>16</v>
      </c>
      <c r="G374" s="23" t="s">
        <v>993</v>
      </c>
      <c r="H374" s="23">
        <v>16</v>
      </c>
      <c r="I374" s="23" t="s">
        <v>1000</v>
      </c>
      <c r="J374" s="25" t="b">
        <v>0</v>
      </c>
      <c r="K374" s="25" t="b">
        <v>0</v>
      </c>
      <c r="L374" s="23">
        <v>1</v>
      </c>
      <c r="M374" s="23" t="s">
        <v>17</v>
      </c>
      <c r="N374" s="23" t="s">
        <v>17</v>
      </c>
      <c r="O374" s="23" t="s">
        <v>12</v>
      </c>
      <c r="P374" s="36" t="s">
        <v>13</v>
      </c>
    </row>
    <row r="375" spans="1:16" s="8" customFormat="1" ht="16" customHeight="1">
      <c r="A375" s="35" t="s">
        <v>88</v>
      </c>
      <c r="B375" s="23" t="s">
        <v>1330</v>
      </c>
      <c r="C375" s="24" t="s">
        <v>1244</v>
      </c>
      <c r="D375" s="24" t="s">
        <v>341</v>
      </c>
      <c r="E375" s="24" t="s">
        <v>342</v>
      </c>
      <c r="F375" s="23">
        <v>16</v>
      </c>
      <c r="G375" s="23" t="s">
        <v>674</v>
      </c>
      <c r="H375" s="23">
        <v>16</v>
      </c>
      <c r="I375" s="23" t="s">
        <v>674</v>
      </c>
      <c r="J375" s="25" t="b">
        <v>0</v>
      </c>
      <c r="K375" s="25" t="b">
        <v>0</v>
      </c>
      <c r="L375" s="23">
        <v>1</v>
      </c>
      <c r="M375" s="23" t="s">
        <v>17</v>
      </c>
      <c r="N375" s="23" t="s">
        <v>17</v>
      </c>
      <c r="O375" s="23" t="s">
        <v>12</v>
      </c>
      <c r="P375" s="36" t="s">
        <v>13</v>
      </c>
    </row>
    <row r="376" spans="1:16" s="8" customFormat="1" ht="16" customHeight="1">
      <c r="A376" s="35" t="s">
        <v>63</v>
      </c>
      <c r="B376" s="23" t="s">
        <v>1330</v>
      </c>
      <c r="C376" s="24" t="s">
        <v>1239</v>
      </c>
      <c r="D376" s="24" t="s">
        <v>351</v>
      </c>
      <c r="E376" s="24" t="s">
        <v>352</v>
      </c>
      <c r="F376" s="23">
        <v>16</v>
      </c>
      <c r="G376" s="23" t="s">
        <v>979</v>
      </c>
      <c r="H376" s="23">
        <v>16</v>
      </c>
      <c r="I376" s="23" t="s">
        <v>979</v>
      </c>
      <c r="J376" s="25" t="b">
        <v>0</v>
      </c>
      <c r="K376" s="25" t="b">
        <v>0</v>
      </c>
      <c r="L376" s="23">
        <v>1</v>
      </c>
      <c r="M376" s="23" t="s">
        <v>17</v>
      </c>
      <c r="N376" s="23" t="s">
        <v>17</v>
      </c>
      <c r="O376" s="23" t="s">
        <v>12</v>
      </c>
      <c r="P376" s="36" t="s">
        <v>13</v>
      </c>
    </row>
    <row r="377" spans="1:16" s="8" customFormat="1" ht="16" customHeight="1">
      <c r="A377" s="35" t="s">
        <v>63</v>
      </c>
      <c r="B377" s="23" t="s">
        <v>1330</v>
      </c>
      <c r="C377" s="24" t="s">
        <v>1240</v>
      </c>
      <c r="D377" s="24" t="s">
        <v>343</v>
      </c>
      <c r="E377" s="24" t="s">
        <v>344</v>
      </c>
      <c r="F377" s="23">
        <v>16</v>
      </c>
      <c r="G377" s="23" t="s">
        <v>979</v>
      </c>
      <c r="H377" s="23">
        <v>16</v>
      </c>
      <c r="I377" s="23" t="s">
        <v>979</v>
      </c>
      <c r="J377" s="25" t="b">
        <v>0</v>
      </c>
      <c r="K377" s="25" t="b">
        <v>0</v>
      </c>
      <c r="L377" s="23">
        <v>1</v>
      </c>
      <c r="M377" s="23" t="s">
        <v>17</v>
      </c>
      <c r="N377" s="23" t="s">
        <v>17</v>
      </c>
      <c r="O377" s="23" t="s">
        <v>12</v>
      </c>
      <c r="P377" s="36" t="s">
        <v>13</v>
      </c>
    </row>
    <row r="378" spans="1:16" s="8" customFormat="1" ht="16" customHeight="1">
      <c r="A378" s="35" t="s">
        <v>49</v>
      </c>
      <c r="B378" s="23" t="s">
        <v>1330</v>
      </c>
      <c r="C378" s="24" t="s">
        <v>1245</v>
      </c>
      <c r="D378" s="24" t="s">
        <v>345</v>
      </c>
      <c r="E378" s="24" t="s">
        <v>346</v>
      </c>
      <c r="F378" s="23">
        <v>16</v>
      </c>
      <c r="G378" s="23" t="s">
        <v>670</v>
      </c>
      <c r="H378" s="23">
        <v>16</v>
      </c>
      <c r="I378" s="23" t="s">
        <v>845</v>
      </c>
      <c r="J378" s="25" t="b">
        <v>0</v>
      </c>
      <c r="K378" s="25" t="b">
        <v>0</v>
      </c>
      <c r="L378" s="23">
        <v>1</v>
      </c>
      <c r="M378" s="23" t="s">
        <v>17</v>
      </c>
      <c r="N378" s="23" t="s">
        <v>17</v>
      </c>
      <c r="O378" s="23" t="s">
        <v>12</v>
      </c>
      <c r="P378" s="36" t="s">
        <v>13</v>
      </c>
    </row>
    <row r="379" spans="1:16" s="8" customFormat="1" ht="16" customHeight="1">
      <c r="A379" s="35" t="s">
        <v>63</v>
      </c>
      <c r="B379" s="23" t="s">
        <v>1330</v>
      </c>
      <c r="C379" s="24" t="s">
        <v>1241</v>
      </c>
      <c r="D379" s="24" t="s">
        <v>353</v>
      </c>
      <c r="E379" s="24" t="s">
        <v>354</v>
      </c>
      <c r="F379" s="23">
        <v>16</v>
      </c>
      <c r="G379" s="23" t="s">
        <v>979</v>
      </c>
      <c r="H379" s="23">
        <v>16</v>
      </c>
      <c r="I379" s="23" t="s">
        <v>979</v>
      </c>
      <c r="J379" s="25" t="b">
        <v>0</v>
      </c>
      <c r="K379" s="25" t="b">
        <v>0</v>
      </c>
      <c r="L379" s="23">
        <v>1</v>
      </c>
      <c r="M379" s="23" t="s">
        <v>17</v>
      </c>
      <c r="N379" s="23" t="s">
        <v>17</v>
      </c>
      <c r="O379" s="23" t="s">
        <v>12</v>
      </c>
      <c r="P379" s="36" t="s">
        <v>13</v>
      </c>
    </row>
    <row r="380" spans="1:16" s="8" customFormat="1" ht="16" customHeight="1">
      <c r="A380" s="35" t="s">
        <v>114</v>
      </c>
      <c r="B380" s="23" t="s">
        <v>1330</v>
      </c>
      <c r="C380" s="24" t="s">
        <v>1253</v>
      </c>
      <c r="D380" s="24" t="s">
        <v>369</v>
      </c>
      <c r="E380" s="24" t="s">
        <v>371</v>
      </c>
      <c r="F380" s="23">
        <v>17</v>
      </c>
      <c r="G380" s="23" t="s">
        <v>882</v>
      </c>
      <c r="H380" s="23">
        <v>19</v>
      </c>
      <c r="I380" s="23" t="s">
        <v>1044</v>
      </c>
      <c r="J380" s="25" t="b">
        <v>0</v>
      </c>
      <c r="K380" s="25" t="b">
        <v>0</v>
      </c>
      <c r="L380" s="23">
        <v>1</v>
      </c>
      <c r="M380" s="23" t="s">
        <v>17</v>
      </c>
      <c r="N380" s="23" t="s">
        <v>17</v>
      </c>
      <c r="O380" s="23" t="s">
        <v>12</v>
      </c>
      <c r="P380" s="36" t="s">
        <v>13</v>
      </c>
    </row>
    <row r="381" spans="1:16" s="8" customFormat="1" ht="16" customHeight="1">
      <c r="A381" s="35" t="s">
        <v>79</v>
      </c>
      <c r="B381" s="23" t="s">
        <v>1330</v>
      </c>
      <c r="C381" s="24" t="s">
        <v>1248</v>
      </c>
      <c r="D381" s="24" t="s">
        <v>359</v>
      </c>
      <c r="E381" s="24" t="s">
        <v>360</v>
      </c>
      <c r="F381" s="23">
        <v>17</v>
      </c>
      <c r="G381" s="23" t="s">
        <v>728</v>
      </c>
      <c r="H381" s="23">
        <v>17</v>
      </c>
      <c r="I381" s="23" t="s">
        <v>728</v>
      </c>
      <c r="J381" s="25" t="b">
        <v>0</v>
      </c>
      <c r="K381" s="25" t="b">
        <v>0</v>
      </c>
      <c r="L381" s="23">
        <v>1</v>
      </c>
      <c r="M381" s="23" t="s">
        <v>17</v>
      </c>
      <c r="N381" s="23" t="s">
        <v>17</v>
      </c>
      <c r="O381" s="23" t="s">
        <v>12</v>
      </c>
      <c r="P381" s="36" t="s">
        <v>13</v>
      </c>
    </row>
    <row r="382" spans="1:16" s="8" customFormat="1" ht="16" customHeight="1">
      <c r="A382" s="35" t="s">
        <v>73</v>
      </c>
      <c r="B382" s="23" t="s">
        <v>1330</v>
      </c>
      <c r="C382" s="24" t="s">
        <v>1272</v>
      </c>
      <c r="D382" s="24" t="s">
        <v>367</v>
      </c>
      <c r="E382" s="24" t="s">
        <v>368</v>
      </c>
      <c r="F382" s="23">
        <v>17</v>
      </c>
      <c r="G382" s="23" t="s">
        <v>774</v>
      </c>
      <c r="H382" s="23">
        <v>22</v>
      </c>
      <c r="I382" s="23" t="s">
        <v>727</v>
      </c>
      <c r="J382" s="25" t="b">
        <v>0</v>
      </c>
      <c r="K382" s="25" t="b">
        <v>0</v>
      </c>
      <c r="L382" s="23">
        <v>1</v>
      </c>
      <c r="M382" s="23" t="s">
        <v>17</v>
      </c>
      <c r="N382" s="23" t="s">
        <v>17</v>
      </c>
      <c r="O382" s="23" t="s">
        <v>12</v>
      </c>
      <c r="P382" s="36" t="s">
        <v>13</v>
      </c>
    </row>
    <row r="383" spans="1:16" s="8" customFormat="1" ht="16" customHeight="1">
      <c r="A383" s="35" t="s">
        <v>98</v>
      </c>
      <c r="B383" s="23" t="s">
        <v>1330</v>
      </c>
      <c r="C383" s="24" t="s">
        <v>1249</v>
      </c>
      <c r="D383" s="24" t="s">
        <v>361</v>
      </c>
      <c r="E383" s="24" t="s">
        <v>362</v>
      </c>
      <c r="F383" s="23">
        <v>17</v>
      </c>
      <c r="G383" s="23" t="s">
        <v>1049</v>
      </c>
      <c r="H383" s="23">
        <v>17</v>
      </c>
      <c r="I383" s="23" t="s">
        <v>649</v>
      </c>
      <c r="J383" s="25" t="b">
        <v>0</v>
      </c>
      <c r="K383" s="25" t="b">
        <v>0</v>
      </c>
      <c r="L383" s="23">
        <v>1</v>
      </c>
      <c r="M383" s="23" t="s">
        <v>17</v>
      </c>
      <c r="N383" s="23" t="s">
        <v>17</v>
      </c>
      <c r="O383" s="23" t="s">
        <v>12</v>
      </c>
      <c r="P383" s="36" t="s">
        <v>13</v>
      </c>
    </row>
    <row r="384" spans="1:16" s="8" customFormat="1" ht="16" customHeight="1">
      <c r="A384" s="35" t="s">
        <v>77</v>
      </c>
      <c r="B384" s="23" t="s">
        <v>1330</v>
      </c>
      <c r="C384" s="24" t="s">
        <v>1250</v>
      </c>
      <c r="D384" s="24" t="s">
        <v>365</v>
      </c>
      <c r="E384" s="24" t="s">
        <v>366</v>
      </c>
      <c r="F384" s="23">
        <v>17</v>
      </c>
      <c r="G384" s="23" t="s">
        <v>1062</v>
      </c>
      <c r="H384" s="23">
        <v>17</v>
      </c>
      <c r="I384" s="23" t="s">
        <v>996</v>
      </c>
      <c r="J384" s="25" t="b">
        <v>1</v>
      </c>
      <c r="K384" s="25" t="b">
        <v>0</v>
      </c>
      <c r="L384" s="23">
        <v>1</v>
      </c>
      <c r="M384" s="23" t="s">
        <v>17</v>
      </c>
      <c r="N384" s="23" t="s">
        <v>17</v>
      </c>
      <c r="O384" s="23" t="s">
        <v>12</v>
      </c>
      <c r="P384" s="36" t="s">
        <v>13</v>
      </c>
    </row>
    <row r="385" spans="1:16" s="8" customFormat="1" ht="16" customHeight="1">
      <c r="A385" s="35" t="s">
        <v>98</v>
      </c>
      <c r="B385" s="23" t="s">
        <v>1330</v>
      </c>
      <c r="C385" s="24" t="s">
        <v>1251</v>
      </c>
      <c r="D385" s="24" t="s">
        <v>363</v>
      </c>
      <c r="E385" s="24" t="s">
        <v>364</v>
      </c>
      <c r="F385" s="23">
        <v>17</v>
      </c>
      <c r="G385" s="23" t="s">
        <v>616</v>
      </c>
      <c r="H385" s="23">
        <v>17</v>
      </c>
      <c r="I385" s="23" t="s">
        <v>636</v>
      </c>
      <c r="J385" s="25" t="b">
        <v>0</v>
      </c>
      <c r="K385" s="25" t="b">
        <v>0</v>
      </c>
      <c r="L385" s="23">
        <v>1</v>
      </c>
      <c r="M385" s="23" t="s">
        <v>17</v>
      </c>
      <c r="N385" s="23" t="s">
        <v>17</v>
      </c>
      <c r="O385" s="23" t="s">
        <v>12</v>
      </c>
      <c r="P385" s="36" t="s">
        <v>13</v>
      </c>
    </row>
    <row r="386" spans="1:16" s="8" customFormat="1" ht="16" customHeight="1">
      <c r="A386" s="35" t="s">
        <v>37</v>
      </c>
      <c r="B386" s="23" t="s">
        <v>1330</v>
      </c>
      <c r="C386" s="24" t="s">
        <v>1315</v>
      </c>
      <c r="D386" s="24" t="s">
        <v>369</v>
      </c>
      <c r="E386" s="24" t="s">
        <v>370</v>
      </c>
      <c r="F386" s="23">
        <v>17</v>
      </c>
      <c r="G386" s="23" t="s">
        <v>882</v>
      </c>
      <c r="H386" s="23">
        <v>9</v>
      </c>
      <c r="I386" s="23" t="s">
        <v>1087</v>
      </c>
      <c r="J386" s="25" t="b">
        <v>0</v>
      </c>
      <c r="K386" s="25" t="b">
        <v>1</v>
      </c>
      <c r="L386" s="23">
        <v>1</v>
      </c>
      <c r="M386" s="23" t="s">
        <v>17</v>
      </c>
      <c r="N386" s="23" t="s">
        <v>17</v>
      </c>
      <c r="O386" s="23" t="s">
        <v>12</v>
      </c>
      <c r="P386" s="36" t="s">
        <v>13</v>
      </c>
    </row>
    <row r="387" spans="1:16" s="8" customFormat="1" ht="16" customHeight="1">
      <c r="A387" s="35" t="s">
        <v>61</v>
      </c>
      <c r="B387" s="23" t="s">
        <v>1330</v>
      </c>
      <c r="C387" s="24" t="s">
        <v>1252</v>
      </c>
      <c r="D387" s="24" t="s">
        <v>372</v>
      </c>
      <c r="E387" s="24" t="s">
        <v>373</v>
      </c>
      <c r="F387" s="23">
        <v>18</v>
      </c>
      <c r="G387" s="23" t="s">
        <v>1079</v>
      </c>
      <c r="H387" s="23">
        <v>18</v>
      </c>
      <c r="I387" s="23" t="s">
        <v>728</v>
      </c>
      <c r="J387" s="25" t="b">
        <v>0</v>
      </c>
      <c r="K387" s="25" t="b">
        <v>0</v>
      </c>
      <c r="L387" s="23">
        <v>1</v>
      </c>
      <c r="M387" s="23" t="s">
        <v>17</v>
      </c>
      <c r="N387" s="23" t="s">
        <v>17</v>
      </c>
      <c r="O387" s="23" t="s">
        <v>12</v>
      </c>
      <c r="P387" s="36" t="s">
        <v>13</v>
      </c>
    </row>
    <row r="388" spans="1:16" s="8" customFormat="1" ht="16" customHeight="1">
      <c r="A388" s="35" t="s">
        <v>50</v>
      </c>
      <c r="B388" s="23" t="s">
        <v>1330</v>
      </c>
      <c r="C388" s="24" t="s">
        <v>1255</v>
      </c>
      <c r="D388" s="24" t="s">
        <v>378</v>
      </c>
      <c r="E388" s="24" t="s">
        <v>379</v>
      </c>
      <c r="F388" s="23">
        <v>19</v>
      </c>
      <c r="G388" s="23" t="s">
        <v>1044</v>
      </c>
      <c r="H388" s="23">
        <v>19</v>
      </c>
      <c r="I388" s="23" t="s">
        <v>1044</v>
      </c>
      <c r="J388" s="25" t="b">
        <v>0</v>
      </c>
      <c r="K388" s="25" t="b">
        <v>0</v>
      </c>
      <c r="L388" s="23">
        <v>1</v>
      </c>
      <c r="M388" s="23" t="s">
        <v>17</v>
      </c>
      <c r="N388" s="23" t="s">
        <v>17</v>
      </c>
      <c r="O388" s="23" t="s">
        <v>12</v>
      </c>
      <c r="P388" s="36" t="s">
        <v>13</v>
      </c>
    </row>
    <row r="389" spans="1:16" s="8" customFormat="1" ht="16" customHeight="1">
      <c r="A389" s="35" t="s">
        <v>36</v>
      </c>
      <c r="B389" s="23" t="s">
        <v>1330</v>
      </c>
      <c r="C389" s="24" t="s">
        <v>1254</v>
      </c>
      <c r="D389" s="24" t="s">
        <v>374</v>
      </c>
      <c r="E389" s="24" t="s">
        <v>375</v>
      </c>
      <c r="F389" s="23">
        <v>19</v>
      </c>
      <c r="G389" s="23" t="s">
        <v>675</v>
      </c>
      <c r="H389" s="23">
        <v>19</v>
      </c>
      <c r="I389" s="23" t="s">
        <v>675</v>
      </c>
      <c r="J389" s="25" t="b">
        <v>0</v>
      </c>
      <c r="K389" s="25" t="b">
        <v>0</v>
      </c>
      <c r="L389" s="23">
        <v>1</v>
      </c>
      <c r="M389" s="23" t="s">
        <v>17</v>
      </c>
      <c r="N389" s="23" t="s">
        <v>17</v>
      </c>
      <c r="O389" s="23" t="s">
        <v>12</v>
      </c>
      <c r="P389" s="36" t="s">
        <v>13</v>
      </c>
    </row>
    <row r="390" spans="1:16" s="8" customFormat="1" ht="16" customHeight="1">
      <c r="A390" s="35" t="s">
        <v>21</v>
      </c>
      <c r="B390" s="23" t="s">
        <v>1330</v>
      </c>
      <c r="C390" s="24" t="s">
        <v>1256</v>
      </c>
      <c r="D390" s="24" t="s">
        <v>376</v>
      </c>
      <c r="E390" s="24" t="s">
        <v>377</v>
      </c>
      <c r="F390" s="23">
        <v>19</v>
      </c>
      <c r="G390" s="23" t="s">
        <v>979</v>
      </c>
      <c r="H390" s="23">
        <v>19</v>
      </c>
      <c r="I390" s="23" t="s">
        <v>979</v>
      </c>
      <c r="J390" s="25" t="b">
        <v>0</v>
      </c>
      <c r="K390" s="25" t="b">
        <v>0</v>
      </c>
      <c r="L390" s="23">
        <v>1</v>
      </c>
      <c r="M390" s="23" t="s">
        <v>17</v>
      </c>
      <c r="N390" s="23" t="s">
        <v>17</v>
      </c>
      <c r="O390" s="23" t="s">
        <v>12</v>
      </c>
      <c r="P390" s="36" t="s">
        <v>13</v>
      </c>
    </row>
    <row r="391" spans="1:16" s="8" customFormat="1" ht="16" customHeight="1">
      <c r="A391" s="35" t="s">
        <v>77</v>
      </c>
      <c r="B391" s="23" t="s">
        <v>1330</v>
      </c>
      <c r="C391" s="24" t="s">
        <v>1257</v>
      </c>
      <c r="D391" s="24" t="s">
        <v>380</v>
      </c>
      <c r="E391" s="24" t="s">
        <v>381</v>
      </c>
      <c r="F391" s="23">
        <v>19</v>
      </c>
      <c r="G391" s="23" t="s">
        <v>675</v>
      </c>
      <c r="H391" s="23">
        <v>19</v>
      </c>
      <c r="I391" s="23" t="s">
        <v>1089</v>
      </c>
      <c r="J391" s="25" t="b">
        <v>0</v>
      </c>
      <c r="K391" s="25" t="b">
        <v>0</v>
      </c>
      <c r="L391" s="23">
        <v>1</v>
      </c>
      <c r="M391" s="23" t="s">
        <v>17</v>
      </c>
      <c r="N391" s="23" t="s">
        <v>17</v>
      </c>
      <c r="O391" s="23" t="s">
        <v>12</v>
      </c>
      <c r="P391" s="36" t="s">
        <v>13</v>
      </c>
    </row>
    <row r="392" spans="1:16" s="8" customFormat="1" ht="16" customHeight="1">
      <c r="A392" s="35" t="s">
        <v>76</v>
      </c>
      <c r="B392" s="23" t="s">
        <v>1330</v>
      </c>
      <c r="C392" s="24" t="s">
        <v>1276</v>
      </c>
      <c r="D392" s="24" t="s">
        <v>390</v>
      </c>
      <c r="E392" s="24" t="s">
        <v>391</v>
      </c>
      <c r="F392" s="23">
        <v>19</v>
      </c>
      <c r="G392" s="23" t="s">
        <v>723</v>
      </c>
      <c r="H392" s="23">
        <v>3</v>
      </c>
      <c r="I392" s="23" t="s">
        <v>1066</v>
      </c>
      <c r="J392" s="25" t="b">
        <v>0</v>
      </c>
      <c r="K392" s="25" t="b">
        <v>0</v>
      </c>
      <c r="L392" s="23">
        <v>1</v>
      </c>
      <c r="M392" s="23" t="s">
        <v>17</v>
      </c>
      <c r="N392" s="23" t="s">
        <v>17</v>
      </c>
      <c r="O392" s="23" t="s">
        <v>12</v>
      </c>
      <c r="P392" s="36" t="s">
        <v>13</v>
      </c>
    </row>
    <row r="393" spans="1:16" s="8" customFormat="1" ht="16" customHeight="1">
      <c r="A393" s="35" t="s">
        <v>74</v>
      </c>
      <c r="B393" s="23" t="s">
        <v>1330</v>
      </c>
      <c r="C393" s="24" t="s">
        <v>1261</v>
      </c>
      <c r="D393" s="24" t="s">
        <v>400</v>
      </c>
      <c r="E393" s="24" t="s">
        <v>401</v>
      </c>
      <c r="F393" s="23">
        <v>2</v>
      </c>
      <c r="G393" s="23" t="s">
        <v>1088</v>
      </c>
      <c r="H393" s="23">
        <v>2</v>
      </c>
      <c r="I393" s="23" t="s">
        <v>1088</v>
      </c>
      <c r="J393" s="25" t="b">
        <v>0</v>
      </c>
      <c r="K393" s="25" t="b">
        <v>0</v>
      </c>
      <c r="L393" s="23">
        <v>1</v>
      </c>
      <c r="M393" s="23" t="s">
        <v>17</v>
      </c>
      <c r="N393" s="23" t="s">
        <v>17</v>
      </c>
      <c r="O393" s="23" t="s">
        <v>12</v>
      </c>
      <c r="P393" s="36" t="s">
        <v>13</v>
      </c>
    </row>
    <row r="394" spans="1:16" s="8" customFormat="1" ht="16" customHeight="1">
      <c r="A394" s="35" t="s">
        <v>27</v>
      </c>
      <c r="B394" s="23" t="s">
        <v>1330</v>
      </c>
      <c r="C394" s="24" t="s">
        <v>1262</v>
      </c>
      <c r="D394" s="24" t="s">
        <v>405</v>
      </c>
      <c r="E394" s="24" t="s">
        <v>406</v>
      </c>
      <c r="F394" s="23">
        <v>2</v>
      </c>
      <c r="G394" s="23" t="s">
        <v>1103</v>
      </c>
      <c r="H394" s="23">
        <v>2</v>
      </c>
      <c r="I394" s="23" t="s">
        <v>1092</v>
      </c>
      <c r="J394" s="25" t="b">
        <v>0</v>
      </c>
      <c r="K394" s="25" t="b">
        <v>0</v>
      </c>
      <c r="L394" s="23">
        <v>1</v>
      </c>
      <c r="M394" s="23" t="s">
        <v>17</v>
      </c>
      <c r="N394" s="23" t="s">
        <v>17</v>
      </c>
      <c r="O394" s="23" t="s">
        <v>12</v>
      </c>
      <c r="P394" s="36" t="s">
        <v>13</v>
      </c>
    </row>
    <row r="395" spans="1:16" s="8" customFormat="1" ht="16" customHeight="1">
      <c r="A395" s="35" t="s">
        <v>54</v>
      </c>
      <c r="B395" s="23" t="s">
        <v>1330</v>
      </c>
      <c r="C395" s="24" t="s">
        <v>1263</v>
      </c>
      <c r="D395" s="24" t="s">
        <v>402</v>
      </c>
      <c r="E395" s="24" t="s">
        <v>403</v>
      </c>
      <c r="F395" s="23">
        <v>2</v>
      </c>
      <c r="G395" s="23" t="s">
        <v>807</v>
      </c>
      <c r="H395" s="23">
        <v>2</v>
      </c>
      <c r="I395" s="23" t="s">
        <v>584</v>
      </c>
      <c r="J395" s="25" t="b">
        <v>0</v>
      </c>
      <c r="K395" s="25" t="b">
        <v>0</v>
      </c>
      <c r="L395" s="23">
        <v>1</v>
      </c>
      <c r="M395" s="23" t="s">
        <v>17</v>
      </c>
      <c r="N395" s="23" t="s">
        <v>17</v>
      </c>
      <c r="O395" s="23" t="s">
        <v>12</v>
      </c>
      <c r="P395" s="36" t="s">
        <v>13</v>
      </c>
    </row>
    <row r="396" spans="1:16" s="8" customFormat="1" ht="16" customHeight="1">
      <c r="A396" s="35" t="s">
        <v>29</v>
      </c>
      <c r="B396" s="23" t="s">
        <v>1330</v>
      </c>
      <c r="C396" s="24" t="s">
        <v>1324</v>
      </c>
      <c r="D396" s="24" t="s">
        <v>409</v>
      </c>
      <c r="E396" s="24" t="s">
        <v>410</v>
      </c>
      <c r="F396" s="23">
        <v>2</v>
      </c>
      <c r="G396" s="23" t="s">
        <v>1051</v>
      </c>
      <c r="H396" s="23" t="s">
        <v>952</v>
      </c>
      <c r="I396" s="23" t="s">
        <v>1098</v>
      </c>
      <c r="J396" s="25" t="b">
        <v>0</v>
      </c>
      <c r="K396" s="25" t="b">
        <v>0</v>
      </c>
      <c r="L396" s="23">
        <v>1</v>
      </c>
      <c r="M396" s="23" t="s">
        <v>17</v>
      </c>
      <c r="N396" s="23" t="s">
        <v>17</v>
      </c>
      <c r="O396" s="23" t="s">
        <v>12</v>
      </c>
      <c r="P396" s="36" t="s">
        <v>13</v>
      </c>
    </row>
    <row r="397" spans="1:16" s="8" customFormat="1" ht="16" customHeight="1">
      <c r="A397" s="35" t="s">
        <v>107</v>
      </c>
      <c r="B397" s="23" t="s">
        <v>1330</v>
      </c>
      <c r="C397" s="24" t="s">
        <v>1264</v>
      </c>
      <c r="D397" s="24" t="s">
        <v>394</v>
      </c>
      <c r="E397" s="24" t="s">
        <v>395</v>
      </c>
      <c r="F397" s="23">
        <v>2</v>
      </c>
      <c r="G397" s="23" t="s">
        <v>1084</v>
      </c>
      <c r="H397" s="23">
        <v>2</v>
      </c>
      <c r="I397" s="23" t="s">
        <v>1084</v>
      </c>
      <c r="J397" s="25" t="b">
        <v>0</v>
      </c>
      <c r="K397" s="25" t="b">
        <v>0</v>
      </c>
      <c r="L397" s="23">
        <v>1</v>
      </c>
      <c r="M397" s="23" t="s">
        <v>17</v>
      </c>
      <c r="N397" s="23" t="s">
        <v>17</v>
      </c>
      <c r="O397" s="23" t="s">
        <v>12</v>
      </c>
      <c r="P397" s="36" t="s">
        <v>13</v>
      </c>
    </row>
    <row r="398" spans="1:16" s="8" customFormat="1" ht="16" customHeight="1">
      <c r="A398" s="35" t="s">
        <v>102</v>
      </c>
      <c r="B398" s="23" t="s">
        <v>1330</v>
      </c>
      <c r="C398" s="24" t="s">
        <v>1235</v>
      </c>
      <c r="D398" s="24" t="s">
        <v>411</v>
      </c>
      <c r="E398" s="24" t="s">
        <v>412</v>
      </c>
      <c r="F398" s="23">
        <v>2</v>
      </c>
      <c r="G398" s="23" t="s">
        <v>1073</v>
      </c>
      <c r="H398" s="23">
        <v>14</v>
      </c>
      <c r="I398" s="23" t="s">
        <v>649</v>
      </c>
      <c r="J398" s="25" t="b">
        <v>0</v>
      </c>
      <c r="K398" s="25" t="b">
        <v>0</v>
      </c>
      <c r="L398" s="23">
        <v>1</v>
      </c>
      <c r="M398" s="23" t="s">
        <v>17</v>
      </c>
      <c r="N398" s="23" t="s">
        <v>17</v>
      </c>
      <c r="O398" s="23" t="s">
        <v>12</v>
      </c>
      <c r="P398" s="36" t="s">
        <v>13</v>
      </c>
    </row>
    <row r="399" spans="1:16" s="8" customFormat="1" ht="16" customHeight="1">
      <c r="A399" s="35" t="s">
        <v>43</v>
      </c>
      <c r="B399" s="23" t="s">
        <v>1330</v>
      </c>
      <c r="C399" s="24" t="s">
        <v>1265</v>
      </c>
      <c r="D399" s="24" t="s">
        <v>392</v>
      </c>
      <c r="E399" s="24" t="s">
        <v>393</v>
      </c>
      <c r="F399" s="23">
        <v>2</v>
      </c>
      <c r="G399" s="23" t="s">
        <v>1052</v>
      </c>
      <c r="H399" s="23">
        <v>2</v>
      </c>
      <c r="I399" s="23" t="s">
        <v>1052</v>
      </c>
      <c r="J399" s="25" t="b">
        <v>0</v>
      </c>
      <c r="K399" s="25" t="b">
        <v>0</v>
      </c>
      <c r="L399" s="23">
        <v>1</v>
      </c>
      <c r="M399" s="23" t="s">
        <v>17</v>
      </c>
      <c r="N399" s="23" t="s">
        <v>17</v>
      </c>
      <c r="O399" s="23" t="s">
        <v>12</v>
      </c>
      <c r="P399" s="36" t="s">
        <v>13</v>
      </c>
    </row>
    <row r="400" spans="1:16" s="8" customFormat="1" ht="16" customHeight="1">
      <c r="A400" s="35" t="s">
        <v>55</v>
      </c>
      <c r="B400" s="23" t="s">
        <v>1330</v>
      </c>
      <c r="C400" s="24" t="s">
        <v>1266</v>
      </c>
      <c r="D400" s="24" t="s">
        <v>398</v>
      </c>
      <c r="E400" s="24" t="s">
        <v>399</v>
      </c>
      <c r="F400" s="23">
        <v>2</v>
      </c>
      <c r="G400" s="23" t="s">
        <v>1092</v>
      </c>
      <c r="H400" s="23">
        <v>2</v>
      </c>
      <c r="I400" s="23" t="s">
        <v>1092</v>
      </c>
      <c r="J400" s="25" t="b">
        <v>1</v>
      </c>
      <c r="K400" s="25" t="b">
        <v>0</v>
      </c>
      <c r="L400" s="23">
        <v>1</v>
      </c>
      <c r="M400" s="23" t="s">
        <v>17</v>
      </c>
      <c r="N400" s="23" t="s">
        <v>17</v>
      </c>
      <c r="O400" s="23" t="s">
        <v>12</v>
      </c>
      <c r="P400" s="36" t="s">
        <v>13</v>
      </c>
    </row>
    <row r="401" spans="1:16" s="8" customFormat="1" ht="16" customHeight="1">
      <c r="A401" s="35" t="s">
        <v>117</v>
      </c>
      <c r="B401" s="23" t="s">
        <v>1330</v>
      </c>
      <c r="C401" s="24" t="s">
        <v>1267</v>
      </c>
      <c r="D401" s="24" t="s">
        <v>396</v>
      </c>
      <c r="E401" s="24" t="s">
        <v>397</v>
      </c>
      <c r="F401" s="23">
        <v>2</v>
      </c>
      <c r="G401" s="23" t="s">
        <v>959</v>
      </c>
      <c r="H401" s="23">
        <v>2</v>
      </c>
      <c r="I401" s="23" t="s">
        <v>959</v>
      </c>
      <c r="J401" s="25" t="b">
        <v>0</v>
      </c>
      <c r="K401" s="25" t="b">
        <v>0</v>
      </c>
      <c r="L401" s="23">
        <v>1</v>
      </c>
      <c r="M401" s="23" t="s">
        <v>17</v>
      </c>
      <c r="N401" s="23" t="s">
        <v>17</v>
      </c>
      <c r="O401" s="23" t="s">
        <v>12</v>
      </c>
      <c r="P401" s="36" t="s">
        <v>13</v>
      </c>
    </row>
    <row r="402" spans="1:16" s="8" customFormat="1" ht="16" customHeight="1">
      <c r="A402" s="35" t="s">
        <v>38</v>
      </c>
      <c r="B402" s="23" t="s">
        <v>1330</v>
      </c>
      <c r="C402" s="24" t="s">
        <v>1270</v>
      </c>
      <c r="D402" s="24" t="s">
        <v>413</v>
      </c>
      <c r="E402" s="24" t="s">
        <v>414</v>
      </c>
      <c r="F402" s="23">
        <v>20</v>
      </c>
      <c r="G402" s="23" t="s">
        <v>1086</v>
      </c>
      <c r="H402" s="23">
        <v>20</v>
      </c>
      <c r="I402" s="23" t="s">
        <v>1086</v>
      </c>
      <c r="J402" s="25" t="b">
        <v>0</v>
      </c>
      <c r="K402" s="25" t="b">
        <v>0</v>
      </c>
      <c r="L402" s="23">
        <v>1</v>
      </c>
      <c r="M402" s="23" t="s">
        <v>17</v>
      </c>
      <c r="N402" s="23" t="s">
        <v>17</v>
      </c>
      <c r="O402" s="23" t="s">
        <v>12</v>
      </c>
      <c r="P402" s="36" t="s">
        <v>13</v>
      </c>
    </row>
    <row r="403" spans="1:16" s="8" customFormat="1" ht="16" customHeight="1">
      <c r="A403" s="35" t="s">
        <v>71</v>
      </c>
      <c r="B403" s="23" t="s">
        <v>1330</v>
      </c>
      <c r="C403" s="24" t="s">
        <v>1277</v>
      </c>
      <c r="D403" s="24" t="s">
        <v>415</v>
      </c>
      <c r="E403" s="24" t="s">
        <v>416</v>
      </c>
      <c r="F403" s="23">
        <v>20</v>
      </c>
      <c r="G403" s="23" t="s">
        <v>1064</v>
      </c>
      <c r="H403" s="23">
        <v>3</v>
      </c>
      <c r="I403" s="23" t="s">
        <v>574</v>
      </c>
      <c r="J403" s="25" t="b">
        <v>0</v>
      </c>
      <c r="K403" s="25" t="b">
        <v>0</v>
      </c>
      <c r="L403" s="23">
        <v>1</v>
      </c>
      <c r="M403" s="23" t="s">
        <v>17</v>
      </c>
      <c r="N403" s="23" t="s">
        <v>17</v>
      </c>
      <c r="O403" s="23" t="s">
        <v>12</v>
      </c>
      <c r="P403" s="36" t="s">
        <v>13</v>
      </c>
    </row>
    <row r="404" spans="1:16" s="8" customFormat="1" ht="16" customHeight="1">
      <c r="A404" s="35" t="s">
        <v>111</v>
      </c>
      <c r="B404" s="23" t="s">
        <v>1330</v>
      </c>
      <c r="C404" s="24" t="s">
        <v>1273</v>
      </c>
      <c r="D404" s="24" t="s">
        <v>417</v>
      </c>
      <c r="E404" s="24" t="s">
        <v>418</v>
      </c>
      <c r="F404" s="23">
        <v>22</v>
      </c>
      <c r="G404" s="23" t="s">
        <v>1056</v>
      </c>
      <c r="H404" s="23">
        <v>22</v>
      </c>
      <c r="I404" s="23" t="s">
        <v>1056</v>
      </c>
      <c r="J404" s="25" t="b">
        <v>1</v>
      </c>
      <c r="K404" s="25" t="b">
        <v>0</v>
      </c>
      <c r="L404" s="23">
        <v>1</v>
      </c>
      <c r="M404" s="23" t="s">
        <v>17</v>
      </c>
      <c r="N404" s="23" t="s">
        <v>17</v>
      </c>
      <c r="O404" s="23" t="s">
        <v>12</v>
      </c>
      <c r="P404" s="36" t="s">
        <v>13</v>
      </c>
    </row>
    <row r="405" spans="1:16" s="8" customFormat="1" ht="16" customHeight="1">
      <c r="A405" s="35" t="s">
        <v>108</v>
      </c>
      <c r="B405" s="23" t="s">
        <v>1330</v>
      </c>
      <c r="C405" s="24" t="s">
        <v>1274</v>
      </c>
      <c r="D405" s="24" t="s">
        <v>419</v>
      </c>
      <c r="E405" s="24" t="s">
        <v>420</v>
      </c>
      <c r="F405" s="23">
        <v>22</v>
      </c>
      <c r="G405" s="23" t="s">
        <v>1086</v>
      </c>
      <c r="H405" s="23">
        <v>22</v>
      </c>
      <c r="I405" s="23" t="s">
        <v>1086</v>
      </c>
      <c r="J405" s="25" t="b">
        <v>0</v>
      </c>
      <c r="K405" s="25" t="b">
        <v>0</v>
      </c>
      <c r="L405" s="23">
        <v>1</v>
      </c>
      <c r="M405" s="23" t="s">
        <v>17</v>
      </c>
      <c r="N405" s="23" t="s">
        <v>17</v>
      </c>
      <c r="O405" s="23" t="s">
        <v>12</v>
      </c>
      <c r="P405" s="36" t="s">
        <v>13</v>
      </c>
    </row>
    <row r="406" spans="1:16" s="8" customFormat="1" ht="16" customHeight="1">
      <c r="A406" s="35" t="s">
        <v>84</v>
      </c>
      <c r="B406" s="23" t="s">
        <v>1330</v>
      </c>
      <c r="C406" s="24" t="s">
        <v>1275</v>
      </c>
      <c r="D406" s="24" t="s">
        <v>421</v>
      </c>
      <c r="E406" s="24" t="s">
        <v>422</v>
      </c>
      <c r="F406" s="23">
        <v>22</v>
      </c>
      <c r="G406" s="23" t="s">
        <v>727</v>
      </c>
      <c r="H406" s="23">
        <v>22</v>
      </c>
      <c r="I406" s="23" t="s">
        <v>1067</v>
      </c>
      <c r="J406" s="25" t="b">
        <v>0</v>
      </c>
      <c r="K406" s="25" t="b">
        <v>0</v>
      </c>
      <c r="L406" s="23">
        <v>1</v>
      </c>
      <c r="M406" s="23" t="s">
        <v>17</v>
      </c>
      <c r="N406" s="23" t="s">
        <v>17</v>
      </c>
      <c r="O406" s="23" t="s">
        <v>12</v>
      </c>
      <c r="P406" s="36" t="s">
        <v>13</v>
      </c>
    </row>
    <row r="407" spans="1:16" s="8" customFormat="1" ht="16" customHeight="1">
      <c r="A407" s="35" t="s">
        <v>84</v>
      </c>
      <c r="B407" s="23" t="s">
        <v>1330</v>
      </c>
      <c r="C407" s="24" t="s">
        <v>1316</v>
      </c>
      <c r="D407" s="24" t="s">
        <v>138</v>
      </c>
      <c r="E407" s="24" t="s">
        <v>427</v>
      </c>
      <c r="F407" s="23">
        <v>22</v>
      </c>
      <c r="G407" s="23" t="s">
        <v>1046</v>
      </c>
      <c r="H407" s="23">
        <v>9</v>
      </c>
      <c r="I407" s="23" t="s">
        <v>979</v>
      </c>
      <c r="J407" s="25" t="b">
        <v>0</v>
      </c>
      <c r="K407" s="25" t="b">
        <v>1</v>
      </c>
      <c r="L407" s="23">
        <v>1</v>
      </c>
      <c r="M407" s="23" t="s">
        <v>17</v>
      </c>
      <c r="N407" s="23" t="s">
        <v>17</v>
      </c>
      <c r="O407" s="23" t="s">
        <v>12</v>
      </c>
      <c r="P407" s="36" t="s">
        <v>13</v>
      </c>
    </row>
    <row r="408" spans="1:16" s="8" customFormat="1" ht="16" customHeight="1">
      <c r="A408" s="35" t="s">
        <v>41</v>
      </c>
      <c r="B408" s="23" t="s">
        <v>1330</v>
      </c>
      <c r="C408" s="24" t="s">
        <v>1278</v>
      </c>
      <c r="D408" s="24" t="s">
        <v>436</v>
      </c>
      <c r="E408" s="24" t="s">
        <v>437</v>
      </c>
      <c r="F408" s="23">
        <v>3</v>
      </c>
      <c r="G408" s="23" t="s">
        <v>1066</v>
      </c>
      <c r="H408" s="23">
        <v>3</v>
      </c>
      <c r="I408" s="23" t="s">
        <v>1066</v>
      </c>
      <c r="J408" s="25" t="b">
        <v>0</v>
      </c>
      <c r="K408" s="25" t="b">
        <v>0</v>
      </c>
      <c r="L408" s="23">
        <v>1</v>
      </c>
      <c r="M408" s="23" t="s">
        <v>17</v>
      </c>
      <c r="N408" s="23" t="s">
        <v>17</v>
      </c>
      <c r="O408" s="23" t="s">
        <v>12</v>
      </c>
      <c r="P408" s="36" t="s">
        <v>13</v>
      </c>
    </row>
    <row r="409" spans="1:16" s="8" customFormat="1" ht="16" customHeight="1">
      <c r="A409" s="35" t="s">
        <v>64</v>
      </c>
      <c r="B409" s="23" t="s">
        <v>1330</v>
      </c>
      <c r="C409" s="24" t="s">
        <v>1258</v>
      </c>
      <c r="D409" s="24" t="s">
        <v>159</v>
      </c>
      <c r="E409" s="24" t="s">
        <v>440</v>
      </c>
      <c r="F409" s="23">
        <v>3</v>
      </c>
      <c r="G409" s="23" t="s">
        <v>1107</v>
      </c>
      <c r="H409" s="23">
        <v>19</v>
      </c>
      <c r="I409" s="23" t="s">
        <v>1055</v>
      </c>
      <c r="J409" s="25" t="b">
        <v>0</v>
      </c>
      <c r="K409" s="25" t="b">
        <v>0</v>
      </c>
      <c r="L409" s="23">
        <v>1</v>
      </c>
      <c r="M409" s="23" t="s">
        <v>17</v>
      </c>
      <c r="N409" s="23" t="s">
        <v>17</v>
      </c>
      <c r="O409" s="23" t="s">
        <v>12</v>
      </c>
      <c r="P409" s="36" t="s">
        <v>13</v>
      </c>
    </row>
    <row r="410" spans="1:16" s="8" customFormat="1" ht="16" customHeight="1">
      <c r="A410" s="35" t="s">
        <v>75</v>
      </c>
      <c r="B410" s="23" t="s">
        <v>1330</v>
      </c>
      <c r="C410" s="24" t="s">
        <v>1279</v>
      </c>
      <c r="D410" s="24" t="s">
        <v>434</v>
      </c>
      <c r="E410" s="24" t="s">
        <v>435</v>
      </c>
      <c r="F410" s="23">
        <v>3</v>
      </c>
      <c r="G410" s="23" t="s">
        <v>717</v>
      </c>
      <c r="H410" s="23">
        <v>3</v>
      </c>
      <c r="I410" s="23" t="s">
        <v>1108</v>
      </c>
      <c r="J410" s="25" t="b">
        <v>0</v>
      </c>
      <c r="K410" s="25" t="b">
        <v>0</v>
      </c>
      <c r="L410" s="23">
        <v>1</v>
      </c>
      <c r="M410" s="23" t="s">
        <v>17</v>
      </c>
      <c r="N410" s="23" t="s">
        <v>17</v>
      </c>
      <c r="O410" s="23" t="s">
        <v>12</v>
      </c>
      <c r="P410" s="36" t="s">
        <v>13</v>
      </c>
    </row>
    <row r="411" spans="1:16" s="8" customFormat="1" ht="16" customHeight="1">
      <c r="A411" s="35" t="s">
        <v>40</v>
      </c>
      <c r="B411" s="23" t="s">
        <v>1330</v>
      </c>
      <c r="C411" s="24" t="s">
        <v>1280</v>
      </c>
      <c r="D411" s="24" t="s">
        <v>428</v>
      </c>
      <c r="E411" s="24" t="s">
        <v>429</v>
      </c>
      <c r="F411" s="23">
        <v>3</v>
      </c>
      <c r="G411" s="23" t="s">
        <v>1056</v>
      </c>
      <c r="H411" s="23">
        <v>3</v>
      </c>
      <c r="I411" s="23" t="s">
        <v>1056</v>
      </c>
      <c r="J411" s="25" t="b">
        <v>0</v>
      </c>
      <c r="K411" s="25" t="b">
        <v>0</v>
      </c>
      <c r="L411" s="23">
        <v>4</v>
      </c>
      <c r="M411" s="23" t="s">
        <v>17</v>
      </c>
      <c r="N411" s="23" t="s">
        <v>17</v>
      </c>
      <c r="O411" s="23" t="s">
        <v>12</v>
      </c>
      <c r="P411" s="36" t="s">
        <v>13</v>
      </c>
    </row>
    <row r="412" spans="1:16" s="8" customFormat="1" ht="16" customHeight="1">
      <c r="A412" s="35" t="s">
        <v>80</v>
      </c>
      <c r="B412" s="23" t="s">
        <v>1330</v>
      </c>
      <c r="C412" s="24" t="s">
        <v>1280</v>
      </c>
      <c r="D412" s="24" t="s">
        <v>428</v>
      </c>
      <c r="E412" s="24" t="s">
        <v>429</v>
      </c>
      <c r="F412" s="23">
        <v>3</v>
      </c>
      <c r="G412" s="23" t="s">
        <v>1056</v>
      </c>
      <c r="H412" s="23">
        <v>3</v>
      </c>
      <c r="I412" s="23" t="s">
        <v>1056</v>
      </c>
      <c r="J412" s="25" t="b">
        <v>0</v>
      </c>
      <c r="K412" s="25" t="b">
        <v>0</v>
      </c>
      <c r="L412" s="23">
        <v>4</v>
      </c>
      <c r="M412" s="23" t="s">
        <v>17</v>
      </c>
      <c r="N412" s="23" t="s">
        <v>17</v>
      </c>
      <c r="O412" s="23" t="s">
        <v>12</v>
      </c>
      <c r="P412" s="36" t="s">
        <v>13</v>
      </c>
    </row>
    <row r="413" spans="1:16" s="8" customFormat="1" ht="16" customHeight="1">
      <c r="A413" s="35" t="s">
        <v>91</v>
      </c>
      <c r="B413" s="23" t="s">
        <v>1330</v>
      </c>
      <c r="C413" s="24" t="s">
        <v>1280</v>
      </c>
      <c r="D413" s="24" t="s">
        <v>428</v>
      </c>
      <c r="E413" s="24" t="s">
        <v>429</v>
      </c>
      <c r="F413" s="23">
        <v>3</v>
      </c>
      <c r="G413" s="23" t="s">
        <v>1056</v>
      </c>
      <c r="H413" s="23">
        <v>3</v>
      </c>
      <c r="I413" s="23" t="s">
        <v>1056</v>
      </c>
      <c r="J413" s="25" t="b">
        <v>0</v>
      </c>
      <c r="K413" s="25" t="b">
        <v>0</v>
      </c>
      <c r="L413" s="23">
        <v>4</v>
      </c>
      <c r="M413" s="23" t="s">
        <v>17</v>
      </c>
      <c r="N413" s="23" t="s">
        <v>17</v>
      </c>
      <c r="O413" s="23" t="s">
        <v>12</v>
      </c>
      <c r="P413" s="36" t="s">
        <v>13</v>
      </c>
    </row>
    <row r="414" spans="1:16" s="8" customFormat="1" ht="16" customHeight="1">
      <c r="A414" s="35" t="s">
        <v>105</v>
      </c>
      <c r="B414" s="23" t="s">
        <v>1330</v>
      </c>
      <c r="C414" s="24" t="s">
        <v>1280</v>
      </c>
      <c r="D414" s="24" t="s">
        <v>428</v>
      </c>
      <c r="E414" s="24" t="s">
        <v>429</v>
      </c>
      <c r="F414" s="23">
        <v>3</v>
      </c>
      <c r="G414" s="23" t="s">
        <v>1056</v>
      </c>
      <c r="H414" s="23">
        <v>3</v>
      </c>
      <c r="I414" s="23" t="s">
        <v>1056</v>
      </c>
      <c r="J414" s="25" t="b">
        <v>0</v>
      </c>
      <c r="K414" s="25" t="b">
        <v>0</v>
      </c>
      <c r="L414" s="23">
        <v>4</v>
      </c>
      <c r="M414" s="23" t="s">
        <v>17</v>
      </c>
      <c r="N414" s="23" t="s">
        <v>17</v>
      </c>
      <c r="O414" s="23" t="s">
        <v>12</v>
      </c>
      <c r="P414" s="36" t="s">
        <v>13</v>
      </c>
    </row>
    <row r="415" spans="1:16" s="8" customFormat="1" ht="16" customHeight="1">
      <c r="A415" s="35" t="s">
        <v>112</v>
      </c>
      <c r="B415" s="23" t="s">
        <v>1330</v>
      </c>
      <c r="C415" s="24" t="s">
        <v>1268</v>
      </c>
      <c r="D415" s="24" t="s">
        <v>441</v>
      </c>
      <c r="E415" s="24" t="s">
        <v>442</v>
      </c>
      <c r="F415" s="23">
        <v>3</v>
      </c>
      <c r="G415" s="23" t="s">
        <v>813</v>
      </c>
      <c r="H415" s="23">
        <v>2</v>
      </c>
      <c r="I415" s="23" t="s">
        <v>592</v>
      </c>
      <c r="J415" s="25" t="b">
        <v>0</v>
      </c>
      <c r="K415" s="25" t="b">
        <v>0</v>
      </c>
      <c r="L415" s="23">
        <v>1</v>
      </c>
      <c r="M415" s="23" t="s">
        <v>17</v>
      </c>
      <c r="N415" s="23" t="s">
        <v>17</v>
      </c>
      <c r="O415" s="23" t="s">
        <v>12</v>
      </c>
      <c r="P415" s="36" t="s">
        <v>13</v>
      </c>
    </row>
    <row r="416" spans="1:16" s="8" customFormat="1" ht="16" customHeight="1">
      <c r="A416" s="35" t="s">
        <v>108</v>
      </c>
      <c r="B416" s="23" t="s">
        <v>1330</v>
      </c>
      <c r="C416" s="24" t="s">
        <v>1281</v>
      </c>
      <c r="D416" s="24" t="s">
        <v>430</v>
      </c>
      <c r="E416" s="24" t="s">
        <v>431</v>
      </c>
      <c r="F416" s="23">
        <v>3</v>
      </c>
      <c r="G416" s="23" t="s">
        <v>774</v>
      </c>
      <c r="H416" s="23">
        <v>3</v>
      </c>
      <c r="I416" s="23" t="s">
        <v>774</v>
      </c>
      <c r="J416" s="25" t="b">
        <v>0</v>
      </c>
      <c r="K416" s="25" t="b">
        <v>0</v>
      </c>
      <c r="L416" s="23">
        <v>1</v>
      </c>
      <c r="M416" s="23" t="s">
        <v>17</v>
      </c>
      <c r="N416" s="23" t="s">
        <v>17</v>
      </c>
      <c r="O416" s="23" t="s">
        <v>12</v>
      </c>
      <c r="P416" s="36" t="s">
        <v>13</v>
      </c>
    </row>
    <row r="417" spans="1:16" s="8" customFormat="1" ht="16" customHeight="1">
      <c r="A417" s="35" t="s">
        <v>91</v>
      </c>
      <c r="B417" s="23" t="s">
        <v>1330</v>
      </c>
      <c r="C417" s="24" t="s">
        <v>1285</v>
      </c>
      <c r="D417" s="24" t="s">
        <v>455</v>
      </c>
      <c r="E417" s="24" t="s">
        <v>456</v>
      </c>
      <c r="F417" s="23">
        <v>4</v>
      </c>
      <c r="G417" s="23" t="s">
        <v>1060</v>
      </c>
      <c r="H417" s="23">
        <v>4</v>
      </c>
      <c r="I417" s="23" t="s">
        <v>1097</v>
      </c>
      <c r="J417" s="25" t="b">
        <v>0</v>
      </c>
      <c r="K417" s="25" t="b">
        <v>0</v>
      </c>
      <c r="L417" s="23">
        <v>1</v>
      </c>
      <c r="M417" s="23" t="s">
        <v>17</v>
      </c>
      <c r="N417" s="23" t="s">
        <v>17</v>
      </c>
      <c r="O417" s="23" t="s">
        <v>12</v>
      </c>
      <c r="P417" s="36" t="s">
        <v>13</v>
      </c>
    </row>
    <row r="418" spans="1:16" s="8" customFormat="1" ht="16" customHeight="1">
      <c r="A418" s="35" t="s">
        <v>39</v>
      </c>
      <c r="B418" s="23" t="s">
        <v>1330</v>
      </c>
      <c r="C418" s="24" t="s">
        <v>1282</v>
      </c>
      <c r="D418" s="24" t="s">
        <v>465</v>
      </c>
      <c r="E418" s="24" t="s">
        <v>466</v>
      </c>
      <c r="F418" s="23">
        <v>4</v>
      </c>
      <c r="G418" s="23" t="s">
        <v>1068</v>
      </c>
      <c r="H418" s="23">
        <v>3</v>
      </c>
      <c r="I418" s="23" t="s">
        <v>1048</v>
      </c>
      <c r="J418" s="25" t="b">
        <v>0</v>
      </c>
      <c r="K418" s="25" t="b">
        <v>0</v>
      </c>
      <c r="L418" s="23">
        <v>1</v>
      </c>
      <c r="M418" s="23" t="s">
        <v>17</v>
      </c>
      <c r="N418" s="23" t="s">
        <v>17</v>
      </c>
      <c r="O418" s="23" t="s">
        <v>12</v>
      </c>
      <c r="P418" s="36" t="s">
        <v>13</v>
      </c>
    </row>
    <row r="419" spans="1:16" s="8" customFormat="1" ht="16" customHeight="1">
      <c r="A419" s="35" t="s">
        <v>116</v>
      </c>
      <c r="B419" s="23" t="s">
        <v>1330</v>
      </c>
      <c r="C419" s="24" t="s">
        <v>1286</v>
      </c>
      <c r="D419" s="24" t="s">
        <v>447</v>
      </c>
      <c r="E419" s="24" t="s">
        <v>448</v>
      </c>
      <c r="F419" s="23">
        <v>4</v>
      </c>
      <c r="G419" s="23" t="s">
        <v>649</v>
      </c>
      <c r="H419" s="23">
        <v>4</v>
      </c>
      <c r="I419" s="23" t="s">
        <v>649</v>
      </c>
      <c r="J419" s="25" t="b">
        <v>1</v>
      </c>
      <c r="K419" s="25" t="b">
        <v>0</v>
      </c>
      <c r="L419" s="23">
        <v>1</v>
      </c>
      <c r="M419" s="23" t="s">
        <v>17</v>
      </c>
      <c r="N419" s="23" t="s">
        <v>17</v>
      </c>
      <c r="O419" s="23" t="s">
        <v>12</v>
      </c>
      <c r="P419" s="36" t="s">
        <v>13</v>
      </c>
    </row>
    <row r="420" spans="1:16" s="8" customFormat="1" ht="16" customHeight="1">
      <c r="A420" s="35" t="s">
        <v>103</v>
      </c>
      <c r="B420" s="23" t="s">
        <v>1330</v>
      </c>
      <c r="C420" s="24" t="s">
        <v>1287</v>
      </c>
      <c r="D420" s="24" t="s">
        <v>451</v>
      </c>
      <c r="E420" s="24" t="s">
        <v>452</v>
      </c>
      <c r="F420" s="23">
        <v>4</v>
      </c>
      <c r="G420" s="23" t="s">
        <v>1057</v>
      </c>
      <c r="H420" s="23">
        <v>4</v>
      </c>
      <c r="I420" s="23" t="s">
        <v>1057</v>
      </c>
      <c r="J420" s="25" t="b">
        <v>0</v>
      </c>
      <c r="K420" s="25" t="b">
        <v>0</v>
      </c>
      <c r="L420" s="23">
        <v>1</v>
      </c>
      <c r="M420" s="23" t="s">
        <v>17</v>
      </c>
      <c r="N420" s="23" t="s">
        <v>17</v>
      </c>
      <c r="O420" s="23" t="s">
        <v>12</v>
      </c>
      <c r="P420" s="36" t="s">
        <v>13</v>
      </c>
    </row>
    <row r="421" spans="1:16" s="8" customFormat="1" ht="16" customHeight="1">
      <c r="A421" s="35" t="s">
        <v>22</v>
      </c>
      <c r="B421" s="23" t="s">
        <v>1330</v>
      </c>
      <c r="C421" s="24" t="s">
        <v>1317</v>
      </c>
      <c r="D421" s="24" t="s">
        <v>459</v>
      </c>
      <c r="E421" s="24" t="s">
        <v>460</v>
      </c>
      <c r="F421" s="23">
        <v>4</v>
      </c>
      <c r="G421" s="23" t="s">
        <v>828</v>
      </c>
      <c r="H421" s="23">
        <v>9</v>
      </c>
      <c r="I421" s="23" t="s">
        <v>1070</v>
      </c>
      <c r="J421" s="25" t="b">
        <v>0</v>
      </c>
      <c r="K421" s="25" t="b">
        <v>0</v>
      </c>
      <c r="L421" s="23">
        <v>1</v>
      </c>
      <c r="M421" s="23" t="s">
        <v>17</v>
      </c>
      <c r="N421" s="23" t="s">
        <v>17</v>
      </c>
      <c r="O421" s="23" t="s">
        <v>12</v>
      </c>
      <c r="P421" s="36" t="s">
        <v>13</v>
      </c>
    </row>
    <row r="422" spans="1:16" s="8" customFormat="1" ht="16" customHeight="1">
      <c r="A422" s="35" t="s">
        <v>53</v>
      </c>
      <c r="B422" s="23" t="s">
        <v>1330</v>
      </c>
      <c r="C422" s="24" t="s">
        <v>1288</v>
      </c>
      <c r="D422" s="24" t="s">
        <v>453</v>
      </c>
      <c r="E422" s="24" t="s">
        <v>454</v>
      </c>
      <c r="F422" s="23">
        <v>4</v>
      </c>
      <c r="G422" s="23" t="s">
        <v>649</v>
      </c>
      <c r="H422" s="23">
        <v>4</v>
      </c>
      <c r="I422" s="23" t="s">
        <v>649</v>
      </c>
      <c r="J422" s="25" t="b">
        <v>0</v>
      </c>
      <c r="K422" s="25" t="b">
        <v>0</v>
      </c>
      <c r="L422" s="23">
        <v>1</v>
      </c>
      <c r="M422" s="23" t="s">
        <v>17</v>
      </c>
      <c r="N422" s="23" t="s">
        <v>17</v>
      </c>
      <c r="O422" s="23" t="s">
        <v>12</v>
      </c>
      <c r="P422" s="36" t="s">
        <v>13</v>
      </c>
    </row>
    <row r="423" spans="1:16" s="8" customFormat="1" ht="16" customHeight="1">
      <c r="A423" s="35" t="s">
        <v>53</v>
      </c>
      <c r="B423" s="23" t="s">
        <v>1330</v>
      </c>
      <c r="C423" s="24" t="s">
        <v>1289</v>
      </c>
      <c r="D423" s="24" t="s">
        <v>445</v>
      </c>
      <c r="E423" s="24" t="s">
        <v>446</v>
      </c>
      <c r="F423" s="23">
        <v>4</v>
      </c>
      <c r="G423" s="23" t="s">
        <v>649</v>
      </c>
      <c r="H423" s="23">
        <v>4</v>
      </c>
      <c r="I423" s="23" t="s">
        <v>649</v>
      </c>
      <c r="J423" s="25" t="b">
        <v>0</v>
      </c>
      <c r="K423" s="25" t="b">
        <v>0</v>
      </c>
      <c r="L423" s="23">
        <v>1</v>
      </c>
      <c r="M423" s="23" t="s">
        <v>17</v>
      </c>
      <c r="N423" s="23" t="s">
        <v>17</v>
      </c>
      <c r="O423" s="23" t="s">
        <v>12</v>
      </c>
      <c r="P423" s="36" t="s">
        <v>13</v>
      </c>
    </row>
    <row r="424" spans="1:16" s="8" customFormat="1" ht="16" customHeight="1">
      <c r="A424" s="35" t="s">
        <v>53</v>
      </c>
      <c r="B424" s="23" t="s">
        <v>1330</v>
      </c>
      <c r="C424" s="24" t="s">
        <v>1290</v>
      </c>
      <c r="D424" s="24" t="s">
        <v>449</v>
      </c>
      <c r="E424" s="24" t="s">
        <v>450</v>
      </c>
      <c r="F424" s="23">
        <v>4</v>
      </c>
      <c r="G424" s="23" t="s">
        <v>649</v>
      </c>
      <c r="H424" s="23">
        <v>4</v>
      </c>
      <c r="I424" s="23" t="s">
        <v>649</v>
      </c>
      <c r="J424" s="25" t="b">
        <v>0</v>
      </c>
      <c r="K424" s="25" t="b">
        <v>0</v>
      </c>
      <c r="L424" s="23">
        <v>1</v>
      </c>
      <c r="M424" s="23" t="s">
        <v>17</v>
      </c>
      <c r="N424" s="23" t="s">
        <v>17</v>
      </c>
      <c r="O424" s="23" t="s">
        <v>12</v>
      </c>
      <c r="P424" s="36" t="s">
        <v>13</v>
      </c>
    </row>
    <row r="425" spans="1:16" s="8" customFormat="1" ht="16" customHeight="1">
      <c r="A425" s="35" t="s">
        <v>37</v>
      </c>
      <c r="B425" s="23" t="s">
        <v>1330</v>
      </c>
      <c r="C425" s="24" t="s">
        <v>1185</v>
      </c>
      <c r="D425" s="24" t="s">
        <v>461</v>
      </c>
      <c r="E425" s="24" t="s">
        <v>462</v>
      </c>
      <c r="F425" s="23">
        <v>4</v>
      </c>
      <c r="G425" s="23" t="s">
        <v>674</v>
      </c>
      <c r="H425" s="23">
        <v>1</v>
      </c>
      <c r="I425" s="23" t="s">
        <v>1099</v>
      </c>
      <c r="J425" s="25" t="b">
        <v>0</v>
      </c>
      <c r="K425" s="25" t="b">
        <v>0</v>
      </c>
      <c r="L425" s="23">
        <v>2</v>
      </c>
      <c r="M425" s="23" t="s">
        <v>17</v>
      </c>
      <c r="N425" s="23" t="s">
        <v>17</v>
      </c>
      <c r="O425" s="23" t="s">
        <v>12</v>
      </c>
      <c r="P425" s="36" t="s">
        <v>13</v>
      </c>
    </row>
    <row r="426" spans="1:16" s="8" customFormat="1" ht="16" customHeight="1">
      <c r="A426" s="35" t="s">
        <v>115</v>
      </c>
      <c r="B426" s="23" t="s">
        <v>1330</v>
      </c>
      <c r="C426" s="24" t="s">
        <v>1185</v>
      </c>
      <c r="D426" s="24" t="s">
        <v>461</v>
      </c>
      <c r="E426" s="24" t="s">
        <v>462</v>
      </c>
      <c r="F426" s="23">
        <v>4</v>
      </c>
      <c r="G426" s="23" t="s">
        <v>674</v>
      </c>
      <c r="H426" s="23">
        <v>1</v>
      </c>
      <c r="I426" s="23" t="s">
        <v>1099</v>
      </c>
      <c r="J426" s="25" t="b">
        <v>0</v>
      </c>
      <c r="K426" s="25" t="b">
        <v>0</v>
      </c>
      <c r="L426" s="23">
        <v>2</v>
      </c>
      <c r="M426" s="23" t="s">
        <v>17</v>
      </c>
      <c r="N426" s="23" t="s">
        <v>17</v>
      </c>
      <c r="O426" s="23" t="s">
        <v>12</v>
      </c>
      <c r="P426" s="36" t="s">
        <v>13</v>
      </c>
    </row>
    <row r="427" spans="1:16" s="8" customFormat="1" ht="16" customHeight="1">
      <c r="A427" s="35" t="s">
        <v>91</v>
      </c>
      <c r="B427" s="23" t="s">
        <v>1330</v>
      </c>
      <c r="C427" s="24" t="s">
        <v>1291</v>
      </c>
      <c r="D427" s="24" t="s">
        <v>457</v>
      </c>
      <c r="E427" s="24" t="s">
        <v>458</v>
      </c>
      <c r="F427" s="23">
        <v>4</v>
      </c>
      <c r="G427" s="23" t="s">
        <v>978</v>
      </c>
      <c r="H427" s="23">
        <v>4</v>
      </c>
      <c r="I427" s="23" t="s">
        <v>649</v>
      </c>
      <c r="J427" s="25" t="b">
        <v>0</v>
      </c>
      <c r="K427" s="25" t="b">
        <v>0</v>
      </c>
      <c r="L427" s="23">
        <v>1</v>
      </c>
      <c r="M427" s="23" t="s">
        <v>17</v>
      </c>
      <c r="N427" s="23" t="s">
        <v>17</v>
      </c>
      <c r="O427" s="23" t="s">
        <v>12</v>
      </c>
      <c r="P427" s="36" t="s">
        <v>13</v>
      </c>
    </row>
    <row r="428" spans="1:16" s="8" customFormat="1" ht="16" customHeight="1">
      <c r="A428" s="35" t="s">
        <v>93</v>
      </c>
      <c r="B428" s="23" t="s">
        <v>1330</v>
      </c>
      <c r="C428" s="24" t="s">
        <v>1292</v>
      </c>
      <c r="D428" s="24" t="s">
        <v>443</v>
      </c>
      <c r="E428" s="24" t="s">
        <v>444</v>
      </c>
      <c r="F428" s="23">
        <v>4</v>
      </c>
      <c r="G428" s="23" t="s">
        <v>978</v>
      </c>
      <c r="H428" s="23">
        <v>4</v>
      </c>
      <c r="I428" s="23" t="s">
        <v>978</v>
      </c>
      <c r="J428" s="25" t="b">
        <v>0</v>
      </c>
      <c r="K428" s="25" t="b">
        <v>1</v>
      </c>
      <c r="L428" s="23">
        <v>2</v>
      </c>
      <c r="M428" s="23" t="s">
        <v>17</v>
      </c>
      <c r="N428" s="23" t="s">
        <v>17</v>
      </c>
      <c r="O428" s="23" t="s">
        <v>12</v>
      </c>
      <c r="P428" s="36" t="s">
        <v>13</v>
      </c>
    </row>
    <row r="429" spans="1:16" s="8" customFormat="1" ht="16" customHeight="1">
      <c r="A429" s="35" t="s">
        <v>114</v>
      </c>
      <c r="B429" s="23" t="s">
        <v>1330</v>
      </c>
      <c r="C429" s="24" t="s">
        <v>1292</v>
      </c>
      <c r="D429" s="24" t="s">
        <v>443</v>
      </c>
      <c r="E429" s="24" t="s">
        <v>444</v>
      </c>
      <c r="F429" s="23">
        <v>4</v>
      </c>
      <c r="G429" s="23" t="s">
        <v>978</v>
      </c>
      <c r="H429" s="23">
        <v>4</v>
      </c>
      <c r="I429" s="23" t="s">
        <v>978</v>
      </c>
      <c r="J429" s="25" t="b">
        <v>0</v>
      </c>
      <c r="K429" s="25" t="b">
        <v>1</v>
      </c>
      <c r="L429" s="23">
        <v>2</v>
      </c>
      <c r="M429" s="23" t="s">
        <v>17</v>
      </c>
      <c r="N429" s="23" t="s">
        <v>17</v>
      </c>
      <c r="O429" s="23" t="s">
        <v>12</v>
      </c>
      <c r="P429" s="36" t="s">
        <v>13</v>
      </c>
    </row>
    <row r="430" spans="1:16" s="8" customFormat="1" ht="16" customHeight="1">
      <c r="A430" s="35" t="s">
        <v>58</v>
      </c>
      <c r="B430" s="23" t="s">
        <v>1330</v>
      </c>
      <c r="C430" s="24" t="s">
        <v>1325</v>
      </c>
      <c r="D430" s="24" t="s">
        <v>494</v>
      </c>
      <c r="E430" s="24" t="s">
        <v>495</v>
      </c>
      <c r="F430" s="23">
        <v>6</v>
      </c>
      <c r="G430" s="23" t="s">
        <v>1103</v>
      </c>
      <c r="H430" s="23" t="s">
        <v>952</v>
      </c>
      <c r="I430" s="23" t="s">
        <v>574</v>
      </c>
      <c r="J430" s="25" t="b">
        <v>0</v>
      </c>
      <c r="K430" s="25" t="b">
        <v>0</v>
      </c>
      <c r="L430" s="23">
        <v>1</v>
      </c>
      <c r="M430" s="23" t="s">
        <v>17</v>
      </c>
      <c r="N430" s="23" t="s">
        <v>17</v>
      </c>
      <c r="O430" s="23" t="s">
        <v>12</v>
      </c>
      <c r="P430" s="36" t="s">
        <v>13</v>
      </c>
    </row>
    <row r="431" spans="1:16" s="8" customFormat="1" ht="16" customHeight="1">
      <c r="A431" s="35" t="s">
        <v>60</v>
      </c>
      <c r="B431" s="23" t="s">
        <v>1330</v>
      </c>
      <c r="C431" s="24" t="s">
        <v>1295</v>
      </c>
      <c r="D431" s="24" t="s">
        <v>475</v>
      </c>
      <c r="E431" s="24" t="s">
        <v>476</v>
      </c>
      <c r="F431" s="23">
        <v>6</v>
      </c>
      <c r="G431" s="23" t="s">
        <v>1103</v>
      </c>
      <c r="H431" s="23">
        <v>6</v>
      </c>
      <c r="I431" s="23" t="s">
        <v>1103</v>
      </c>
      <c r="J431" s="25" t="b">
        <v>0</v>
      </c>
      <c r="K431" s="25" t="b">
        <v>0</v>
      </c>
      <c r="L431" s="23">
        <v>1</v>
      </c>
      <c r="M431" s="23" t="s">
        <v>17</v>
      </c>
      <c r="N431" s="23" t="s">
        <v>17</v>
      </c>
      <c r="O431" s="23" t="s">
        <v>12</v>
      </c>
      <c r="P431" s="36" t="s">
        <v>13</v>
      </c>
    </row>
    <row r="432" spans="1:16" s="8" customFormat="1" ht="16" customHeight="1">
      <c r="A432" s="35" t="s">
        <v>22</v>
      </c>
      <c r="B432" s="23" t="s">
        <v>1330</v>
      </c>
      <c r="C432" s="24" t="s">
        <v>1225</v>
      </c>
      <c r="D432" s="24" t="s">
        <v>489</v>
      </c>
      <c r="E432" s="24" t="s">
        <v>490</v>
      </c>
      <c r="F432" s="23">
        <v>6</v>
      </c>
      <c r="G432" s="23" t="s">
        <v>994</v>
      </c>
      <c r="H432" s="23">
        <v>12</v>
      </c>
      <c r="I432" s="23" t="s">
        <v>1047</v>
      </c>
      <c r="J432" s="25" t="b">
        <v>0</v>
      </c>
      <c r="K432" s="25" t="b">
        <v>0</v>
      </c>
      <c r="L432" s="23">
        <v>1</v>
      </c>
      <c r="M432" s="23" t="s">
        <v>17</v>
      </c>
      <c r="N432" s="23" t="s">
        <v>17</v>
      </c>
      <c r="O432" s="23" t="s">
        <v>12</v>
      </c>
      <c r="P432" s="36" t="s">
        <v>13</v>
      </c>
    </row>
    <row r="433" spans="1:16" s="8" customFormat="1" ht="16" customHeight="1">
      <c r="A433" s="35" t="s">
        <v>103</v>
      </c>
      <c r="B433" s="23" t="s">
        <v>1330</v>
      </c>
      <c r="C433" s="24" t="s">
        <v>1296</v>
      </c>
      <c r="D433" s="24" t="s">
        <v>469</v>
      </c>
      <c r="E433" s="24" t="s">
        <v>470</v>
      </c>
      <c r="F433" s="23">
        <v>6</v>
      </c>
      <c r="G433" s="23" t="s">
        <v>649</v>
      </c>
      <c r="H433" s="23">
        <v>6</v>
      </c>
      <c r="I433" s="23" t="s">
        <v>649</v>
      </c>
      <c r="J433" s="25" t="b">
        <v>0</v>
      </c>
      <c r="K433" s="25" t="b">
        <v>0</v>
      </c>
      <c r="L433" s="23">
        <v>1</v>
      </c>
      <c r="M433" s="23" t="s">
        <v>17</v>
      </c>
      <c r="N433" s="23" t="s">
        <v>17</v>
      </c>
      <c r="O433" s="23" t="s">
        <v>12</v>
      </c>
      <c r="P433" s="36" t="s">
        <v>13</v>
      </c>
    </row>
    <row r="434" spans="1:16" s="8" customFormat="1" ht="16" customHeight="1">
      <c r="A434" s="35" t="s">
        <v>22</v>
      </c>
      <c r="B434" s="23" t="s">
        <v>1330</v>
      </c>
      <c r="C434" s="24" t="s">
        <v>1297</v>
      </c>
      <c r="D434" s="24" t="s">
        <v>483</v>
      </c>
      <c r="E434" s="24" t="s">
        <v>484</v>
      </c>
      <c r="F434" s="23">
        <v>6</v>
      </c>
      <c r="G434" s="23" t="s">
        <v>1083</v>
      </c>
      <c r="H434" s="23">
        <v>6</v>
      </c>
      <c r="I434" s="23" t="s">
        <v>574</v>
      </c>
      <c r="J434" s="25" t="b">
        <v>0</v>
      </c>
      <c r="K434" s="25" t="b">
        <v>0</v>
      </c>
      <c r="L434" s="23">
        <v>1</v>
      </c>
      <c r="M434" s="23" t="s">
        <v>17</v>
      </c>
      <c r="N434" s="23" t="s">
        <v>17</v>
      </c>
      <c r="O434" s="23" t="s">
        <v>12</v>
      </c>
      <c r="P434" s="36" t="s">
        <v>13</v>
      </c>
    </row>
    <row r="435" spans="1:16" s="8" customFormat="1" ht="16" customHeight="1">
      <c r="A435" s="35" t="s">
        <v>50</v>
      </c>
      <c r="B435" s="23" t="s">
        <v>1330</v>
      </c>
      <c r="C435" s="24" t="s">
        <v>1298</v>
      </c>
      <c r="D435" s="24" t="s">
        <v>473</v>
      </c>
      <c r="E435" s="24" t="s">
        <v>474</v>
      </c>
      <c r="F435" s="23">
        <v>6</v>
      </c>
      <c r="G435" s="23" t="s">
        <v>708</v>
      </c>
      <c r="H435" s="23">
        <v>6</v>
      </c>
      <c r="I435" s="23" t="s">
        <v>708</v>
      </c>
      <c r="J435" s="25" t="b">
        <v>0</v>
      </c>
      <c r="K435" s="25" t="b">
        <v>0</v>
      </c>
      <c r="L435" s="23">
        <v>1</v>
      </c>
      <c r="M435" s="23" t="s">
        <v>17</v>
      </c>
      <c r="N435" s="23" t="s">
        <v>17</v>
      </c>
      <c r="O435" s="23" t="s">
        <v>12</v>
      </c>
      <c r="P435" s="36" t="s">
        <v>13</v>
      </c>
    </row>
    <row r="436" spans="1:16" s="8" customFormat="1" ht="16" customHeight="1">
      <c r="A436" s="35" t="s">
        <v>22</v>
      </c>
      <c r="B436" s="23" t="s">
        <v>1330</v>
      </c>
      <c r="C436" s="24" t="s">
        <v>1299</v>
      </c>
      <c r="D436" s="24" t="s">
        <v>481</v>
      </c>
      <c r="E436" s="24" t="s">
        <v>482</v>
      </c>
      <c r="F436" s="23">
        <v>6</v>
      </c>
      <c r="G436" s="23" t="s">
        <v>1054</v>
      </c>
      <c r="H436" s="23">
        <v>6</v>
      </c>
      <c r="I436" s="23" t="s">
        <v>574</v>
      </c>
      <c r="J436" s="25" t="b">
        <v>0</v>
      </c>
      <c r="K436" s="25" t="b">
        <v>0</v>
      </c>
      <c r="L436" s="23">
        <v>1</v>
      </c>
      <c r="M436" s="23" t="s">
        <v>17</v>
      </c>
      <c r="N436" s="23" t="s">
        <v>17</v>
      </c>
      <c r="O436" s="23" t="s">
        <v>12</v>
      </c>
      <c r="P436" s="36" t="s">
        <v>13</v>
      </c>
    </row>
    <row r="437" spans="1:16" s="8" customFormat="1" ht="16" customHeight="1">
      <c r="A437" s="35" t="s">
        <v>114</v>
      </c>
      <c r="B437" s="23" t="s">
        <v>1330</v>
      </c>
      <c r="C437" s="24" t="s">
        <v>1236</v>
      </c>
      <c r="D437" s="24" t="s">
        <v>491</v>
      </c>
      <c r="E437" s="24" t="s">
        <v>492</v>
      </c>
      <c r="F437" s="23">
        <v>6</v>
      </c>
      <c r="G437" s="23" t="s">
        <v>994</v>
      </c>
      <c r="H437" s="23">
        <v>15</v>
      </c>
      <c r="I437" s="23" t="s">
        <v>1109</v>
      </c>
      <c r="J437" s="25" t="b">
        <v>0</v>
      </c>
      <c r="K437" s="25" t="b">
        <v>0</v>
      </c>
      <c r="L437" s="23">
        <v>1</v>
      </c>
      <c r="M437" s="23" t="s">
        <v>17</v>
      </c>
      <c r="N437" s="23" t="s">
        <v>17</v>
      </c>
      <c r="O437" s="23" t="s">
        <v>12</v>
      </c>
      <c r="P437" s="36" t="s">
        <v>13</v>
      </c>
    </row>
    <row r="438" spans="1:16" s="8" customFormat="1" ht="16" customHeight="1">
      <c r="A438" s="35" t="s">
        <v>117</v>
      </c>
      <c r="B438" s="23" t="s">
        <v>1330</v>
      </c>
      <c r="C438" s="24" t="s">
        <v>1300</v>
      </c>
      <c r="D438" s="24" t="s">
        <v>471</v>
      </c>
      <c r="E438" s="24" t="s">
        <v>472</v>
      </c>
      <c r="F438" s="23">
        <v>6</v>
      </c>
      <c r="G438" s="23" t="s">
        <v>717</v>
      </c>
      <c r="H438" s="23">
        <v>6</v>
      </c>
      <c r="I438" s="23" t="s">
        <v>717</v>
      </c>
      <c r="J438" s="25" t="b">
        <v>0</v>
      </c>
      <c r="K438" s="25" t="b">
        <v>0</v>
      </c>
      <c r="L438" s="23">
        <v>1</v>
      </c>
      <c r="M438" s="23" t="s">
        <v>17</v>
      </c>
      <c r="N438" s="23" t="s">
        <v>17</v>
      </c>
      <c r="O438" s="23" t="s">
        <v>12</v>
      </c>
      <c r="P438" s="36" t="s">
        <v>13</v>
      </c>
    </row>
    <row r="439" spans="1:16" s="8" customFormat="1" ht="16" customHeight="1">
      <c r="A439" s="35" t="s">
        <v>22</v>
      </c>
      <c r="B439" s="23" t="s">
        <v>1330</v>
      </c>
      <c r="C439" s="24" t="s">
        <v>1301</v>
      </c>
      <c r="D439" s="24" t="s">
        <v>487</v>
      </c>
      <c r="E439" s="24" t="s">
        <v>488</v>
      </c>
      <c r="F439" s="23">
        <v>6</v>
      </c>
      <c r="G439" s="23" t="s">
        <v>1104</v>
      </c>
      <c r="H439" s="23">
        <v>6</v>
      </c>
      <c r="I439" s="23" t="s">
        <v>669</v>
      </c>
      <c r="J439" s="25" t="b">
        <v>0</v>
      </c>
      <c r="K439" s="25" t="b">
        <v>0</v>
      </c>
      <c r="L439" s="23">
        <v>1</v>
      </c>
      <c r="M439" s="23" t="s">
        <v>17</v>
      </c>
      <c r="N439" s="23" t="s">
        <v>17</v>
      </c>
      <c r="O439" s="23" t="s">
        <v>12</v>
      </c>
      <c r="P439" s="36" t="s">
        <v>13</v>
      </c>
    </row>
    <row r="440" spans="1:16" s="8" customFormat="1" ht="16" customHeight="1">
      <c r="A440" s="35" t="s">
        <v>111</v>
      </c>
      <c r="B440" s="23" t="s">
        <v>1330</v>
      </c>
      <c r="C440" s="24" t="s">
        <v>1259</v>
      </c>
      <c r="D440" s="24" t="s">
        <v>524</v>
      </c>
      <c r="E440" s="24" t="s">
        <v>525</v>
      </c>
      <c r="F440" s="23">
        <v>7</v>
      </c>
      <c r="G440" s="23" t="s">
        <v>1045</v>
      </c>
      <c r="H440" s="23">
        <v>19</v>
      </c>
      <c r="I440" s="23" t="s">
        <v>1044</v>
      </c>
      <c r="J440" s="25" t="b">
        <v>0</v>
      </c>
      <c r="K440" s="25" t="b">
        <v>0</v>
      </c>
      <c r="L440" s="23">
        <v>1</v>
      </c>
      <c r="M440" s="23" t="s">
        <v>17</v>
      </c>
      <c r="N440" s="23" t="s">
        <v>17</v>
      </c>
      <c r="O440" s="23" t="s">
        <v>12</v>
      </c>
      <c r="P440" s="36" t="s">
        <v>13</v>
      </c>
    </row>
    <row r="441" spans="1:16" s="8" customFormat="1" ht="16" customHeight="1">
      <c r="A441" s="35" t="s">
        <v>32</v>
      </c>
      <c r="B441" s="23" t="s">
        <v>1330</v>
      </c>
      <c r="C441" s="24" t="s">
        <v>1308</v>
      </c>
      <c r="D441" s="24" t="s">
        <v>520</v>
      </c>
      <c r="E441" s="24" t="s">
        <v>521</v>
      </c>
      <c r="F441" s="23">
        <v>7</v>
      </c>
      <c r="G441" s="23" t="s">
        <v>674</v>
      </c>
      <c r="H441" s="23">
        <v>7</v>
      </c>
      <c r="I441" s="23" t="s">
        <v>642</v>
      </c>
      <c r="J441" s="25" t="b">
        <v>0</v>
      </c>
      <c r="K441" s="25" t="b">
        <v>0</v>
      </c>
      <c r="L441" s="23">
        <v>1</v>
      </c>
      <c r="M441" s="23" t="s">
        <v>17</v>
      </c>
      <c r="N441" s="23" t="s">
        <v>17</v>
      </c>
      <c r="O441" s="23" t="s">
        <v>12</v>
      </c>
      <c r="P441" s="36" t="s">
        <v>13</v>
      </c>
    </row>
    <row r="442" spans="1:16" s="8" customFormat="1" ht="16" customHeight="1">
      <c r="A442" s="35" t="s">
        <v>35</v>
      </c>
      <c r="B442" s="23" t="s">
        <v>1330</v>
      </c>
      <c r="C442" s="24" t="s">
        <v>1304</v>
      </c>
      <c r="D442" s="24" t="s">
        <v>496</v>
      </c>
      <c r="E442" s="24" t="s">
        <v>497</v>
      </c>
      <c r="F442" s="23">
        <v>7</v>
      </c>
      <c r="G442" s="23" t="s">
        <v>813</v>
      </c>
      <c r="H442" s="23">
        <v>7</v>
      </c>
      <c r="I442" s="23" t="s">
        <v>601</v>
      </c>
      <c r="J442" s="25" t="b">
        <v>0</v>
      </c>
      <c r="K442" s="25" t="b">
        <v>0</v>
      </c>
      <c r="L442" s="23">
        <v>1</v>
      </c>
      <c r="M442" s="23" t="s">
        <v>17</v>
      </c>
      <c r="N442" s="23" t="s">
        <v>17</v>
      </c>
      <c r="O442" s="23" t="s">
        <v>12</v>
      </c>
      <c r="P442" s="36" t="s">
        <v>13</v>
      </c>
    </row>
    <row r="443" spans="1:16" s="8" customFormat="1" ht="16" customHeight="1">
      <c r="A443" s="35" t="s">
        <v>32</v>
      </c>
      <c r="B443" s="23" t="s">
        <v>1330</v>
      </c>
      <c r="C443" s="24" t="s">
        <v>1309</v>
      </c>
      <c r="D443" s="24" t="s">
        <v>498</v>
      </c>
      <c r="E443" s="24" t="s">
        <v>499</v>
      </c>
      <c r="F443" s="23">
        <v>7</v>
      </c>
      <c r="G443" s="23" t="s">
        <v>1033</v>
      </c>
      <c r="H443" s="23">
        <v>7</v>
      </c>
      <c r="I443" s="23" t="s">
        <v>1033</v>
      </c>
      <c r="J443" s="25" t="b">
        <v>0</v>
      </c>
      <c r="K443" s="25" t="b">
        <v>0</v>
      </c>
      <c r="L443" s="23">
        <v>1</v>
      </c>
      <c r="M443" s="23" t="s">
        <v>17</v>
      </c>
      <c r="N443" s="23" t="s">
        <v>17</v>
      </c>
      <c r="O443" s="23" t="s">
        <v>12</v>
      </c>
      <c r="P443" s="36" t="s">
        <v>13</v>
      </c>
    </row>
    <row r="444" spans="1:16" s="8" customFormat="1" ht="16" customHeight="1">
      <c r="A444" s="35" t="s">
        <v>32</v>
      </c>
      <c r="B444" s="23" t="s">
        <v>1330</v>
      </c>
      <c r="C444" s="24" t="s">
        <v>1305</v>
      </c>
      <c r="D444" s="24" t="s">
        <v>514</v>
      </c>
      <c r="E444" s="24" t="s">
        <v>515</v>
      </c>
      <c r="F444" s="23">
        <v>7</v>
      </c>
      <c r="G444" s="23" t="s">
        <v>828</v>
      </c>
      <c r="H444" s="23">
        <v>7</v>
      </c>
      <c r="I444" s="23" t="s">
        <v>738</v>
      </c>
      <c r="J444" s="25" t="b">
        <v>0</v>
      </c>
      <c r="K444" s="25" t="b">
        <v>0</v>
      </c>
      <c r="L444" s="23">
        <v>1</v>
      </c>
      <c r="M444" s="23" t="s">
        <v>17</v>
      </c>
      <c r="N444" s="23" t="s">
        <v>17</v>
      </c>
      <c r="O444" s="23" t="s">
        <v>12</v>
      </c>
      <c r="P444" s="36" t="s">
        <v>13</v>
      </c>
    </row>
    <row r="445" spans="1:16" s="8" customFormat="1" ht="16" customHeight="1">
      <c r="A445" s="35" t="s">
        <v>36</v>
      </c>
      <c r="B445" s="23" t="s">
        <v>1330</v>
      </c>
      <c r="C445" s="24" t="s">
        <v>1131</v>
      </c>
      <c r="D445" s="24" t="s">
        <v>500</v>
      </c>
      <c r="E445" s="24" t="s">
        <v>119</v>
      </c>
      <c r="F445" s="23">
        <v>7</v>
      </c>
      <c r="G445" s="23" t="s">
        <v>592</v>
      </c>
      <c r="H445" s="23">
        <v>7</v>
      </c>
      <c r="I445" s="23" t="s">
        <v>592</v>
      </c>
      <c r="J445" s="25" t="b">
        <v>1</v>
      </c>
      <c r="K445" s="25" t="b">
        <v>1</v>
      </c>
      <c r="L445" s="23">
        <v>4</v>
      </c>
      <c r="M445" s="23" t="s">
        <v>17</v>
      </c>
      <c r="N445" s="23" t="s">
        <v>17</v>
      </c>
      <c r="O445" s="23" t="s">
        <v>12</v>
      </c>
      <c r="P445" s="36" t="s">
        <v>13</v>
      </c>
    </row>
    <row r="446" spans="1:16" s="8" customFormat="1" ht="16" customHeight="1">
      <c r="A446" s="35" t="s">
        <v>57</v>
      </c>
      <c r="B446" s="23" t="s">
        <v>1330</v>
      </c>
      <c r="C446" s="24" t="s">
        <v>1131</v>
      </c>
      <c r="D446" s="24" t="s">
        <v>500</v>
      </c>
      <c r="E446" s="24" t="s">
        <v>119</v>
      </c>
      <c r="F446" s="23">
        <v>7</v>
      </c>
      <c r="G446" s="23" t="s">
        <v>592</v>
      </c>
      <c r="H446" s="23">
        <v>7</v>
      </c>
      <c r="I446" s="23" t="s">
        <v>592</v>
      </c>
      <c r="J446" s="25" t="b">
        <v>1</v>
      </c>
      <c r="K446" s="25" t="b">
        <v>1</v>
      </c>
      <c r="L446" s="23">
        <v>4</v>
      </c>
      <c r="M446" s="23" t="s">
        <v>17</v>
      </c>
      <c r="N446" s="23" t="s">
        <v>17</v>
      </c>
      <c r="O446" s="23" t="s">
        <v>12</v>
      </c>
      <c r="P446" s="36" t="s">
        <v>13</v>
      </c>
    </row>
    <row r="447" spans="1:16" s="8" customFormat="1" ht="16" customHeight="1">
      <c r="A447" s="35" t="s">
        <v>63</v>
      </c>
      <c r="B447" s="23" t="s">
        <v>1330</v>
      </c>
      <c r="C447" s="24" t="s">
        <v>1131</v>
      </c>
      <c r="D447" s="24" t="s">
        <v>500</v>
      </c>
      <c r="E447" s="24" t="s">
        <v>119</v>
      </c>
      <c r="F447" s="23">
        <v>7</v>
      </c>
      <c r="G447" s="23" t="s">
        <v>592</v>
      </c>
      <c r="H447" s="23">
        <v>7</v>
      </c>
      <c r="I447" s="23" t="s">
        <v>592</v>
      </c>
      <c r="J447" s="25" t="b">
        <v>1</v>
      </c>
      <c r="K447" s="25" t="b">
        <v>1</v>
      </c>
      <c r="L447" s="23">
        <v>4</v>
      </c>
      <c r="M447" s="23" t="s">
        <v>17</v>
      </c>
      <c r="N447" s="23" t="s">
        <v>17</v>
      </c>
      <c r="O447" s="23" t="s">
        <v>12</v>
      </c>
      <c r="P447" s="36" t="s">
        <v>13</v>
      </c>
    </row>
    <row r="448" spans="1:16" s="8" customFormat="1" ht="16" customHeight="1">
      <c r="A448" s="35" t="s">
        <v>107</v>
      </c>
      <c r="B448" s="23" t="s">
        <v>1330</v>
      </c>
      <c r="C448" s="24" t="s">
        <v>1306</v>
      </c>
      <c r="D448" s="24" t="s">
        <v>505</v>
      </c>
      <c r="E448" s="24" t="s">
        <v>506</v>
      </c>
      <c r="F448" s="23">
        <v>7</v>
      </c>
      <c r="G448" s="23" t="s">
        <v>774</v>
      </c>
      <c r="H448" s="23">
        <v>7</v>
      </c>
      <c r="I448" s="23" t="s">
        <v>738</v>
      </c>
      <c r="J448" s="25" t="b">
        <v>0</v>
      </c>
      <c r="K448" s="25" t="b">
        <v>0</v>
      </c>
      <c r="L448" s="23">
        <v>1</v>
      </c>
      <c r="M448" s="23" t="s">
        <v>17</v>
      </c>
      <c r="N448" s="23" t="s">
        <v>17</v>
      </c>
      <c r="O448" s="23" t="s">
        <v>12</v>
      </c>
      <c r="P448" s="36" t="s">
        <v>13</v>
      </c>
    </row>
    <row r="449" spans="1:16" s="8" customFormat="1" ht="16" customHeight="1">
      <c r="A449" s="35" t="s">
        <v>100</v>
      </c>
      <c r="B449" s="23" t="s">
        <v>1330</v>
      </c>
      <c r="C449" s="24" t="s">
        <v>1303</v>
      </c>
      <c r="D449" s="24" t="s">
        <v>507</v>
      </c>
      <c r="E449" s="24" t="s">
        <v>508</v>
      </c>
      <c r="F449" s="23">
        <v>7</v>
      </c>
      <c r="G449" s="23" t="s">
        <v>865</v>
      </c>
      <c r="H449" s="23">
        <v>7</v>
      </c>
      <c r="I449" s="23" t="s">
        <v>865</v>
      </c>
      <c r="J449" s="25" t="b">
        <v>0</v>
      </c>
      <c r="K449" s="25" t="b">
        <v>0</v>
      </c>
      <c r="L449" s="23">
        <v>1</v>
      </c>
      <c r="M449" s="23" t="s">
        <v>17</v>
      </c>
      <c r="N449" s="23" t="s">
        <v>17</v>
      </c>
      <c r="O449" s="23" t="s">
        <v>12</v>
      </c>
      <c r="P449" s="36" t="s">
        <v>13</v>
      </c>
    </row>
    <row r="450" spans="1:16" s="8" customFormat="1" ht="16" customHeight="1">
      <c r="A450" s="35" t="s">
        <v>47</v>
      </c>
      <c r="B450" s="23" t="s">
        <v>1330</v>
      </c>
      <c r="C450" s="24" t="s">
        <v>1313</v>
      </c>
      <c r="D450" s="24" t="s">
        <v>502</v>
      </c>
      <c r="E450" s="24" t="s">
        <v>501</v>
      </c>
      <c r="F450" s="23">
        <v>7</v>
      </c>
      <c r="G450" s="23" t="s">
        <v>592</v>
      </c>
      <c r="H450" s="23">
        <v>7</v>
      </c>
      <c r="I450" s="23" t="s">
        <v>592</v>
      </c>
      <c r="J450" s="25" t="b">
        <v>0</v>
      </c>
      <c r="K450" s="25" t="b">
        <v>1</v>
      </c>
      <c r="L450" s="23">
        <v>1</v>
      </c>
      <c r="M450" s="23" t="s">
        <v>17</v>
      </c>
      <c r="N450" s="23" t="s">
        <v>17</v>
      </c>
      <c r="O450" s="23" t="s">
        <v>12</v>
      </c>
      <c r="P450" s="36" t="s">
        <v>13</v>
      </c>
    </row>
    <row r="451" spans="1:16" s="8" customFormat="1" ht="16" customHeight="1">
      <c r="A451" s="35" t="s">
        <v>81</v>
      </c>
      <c r="B451" s="23" t="s">
        <v>1330</v>
      </c>
      <c r="C451" s="24" t="s">
        <v>1310</v>
      </c>
      <c r="D451" s="24" t="s">
        <v>516</v>
      </c>
      <c r="E451" s="24" t="s">
        <v>517</v>
      </c>
      <c r="F451" s="23">
        <v>7</v>
      </c>
      <c r="G451" s="23" t="s">
        <v>1069</v>
      </c>
      <c r="H451" s="23">
        <v>7</v>
      </c>
      <c r="I451" s="23" t="s">
        <v>738</v>
      </c>
      <c r="J451" s="25" t="b">
        <v>0</v>
      </c>
      <c r="K451" s="25" t="b">
        <v>0</v>
      </c>
      <c r="L451" s="23">
        <v>1</v>
      </c>
      <c r="M451" s="23" t="s">
        <v>17</v>
      </c>
      <c r="N451" s="23" t="s">
        <v>17</v>
      </c>
      <c r="O451" s="23" t="s">
        <v>12</v>
      </c>
      <c r="P451" s="36" t="s">
        <v>13</v>
      </c>
    </row>
    <row r="452" spans="1:16" s="8" customFormat="1" ht="16" customHeight="1">
      <c r="A452" s="35" t="s">
        <v>52</v>
      </c>
      <c r="B452" s="23" t="s">
        <v>1330</v>
      </c>
      <c r="C452" s="24" t="s">
        <v>1230</v>
      </c>
      <c r="D452" s="24" t="s">
        <v>519</v>
      </c>
      <c r="E452" s="24" t="s">
        <v>526</v>
      </c>
      <c r="F452" s="23">
        <v>7</v>
      </c>
      <c r="G452" s="23" t="s">
        <v>845</v>
      </c>
      <c r="H452" s="23">
        <v>13</v>
      </c>
      <c r="I452" s="23" t="s">
        <v>891</v>
      </c>
      <c r="J452" s="25" t="b">
        <v>1</v>
      </c>
      <c r="K452" s="25" t="b">
        <v>0</v>
      </c>
      <c r="L452" s="23">
        <v>1</v>
      </c>
      <c r="M452" s="23" t="s">
        <v>17</v>
      </c>
      <c r="N452" s="23" t="s">
        <v>17</v>
      </c>
      <c r="O452" s="23" t="s">
        <v>12</v>
      </c>
      <c r="P452" s="36" t="s">
        <v>13</v>
      </c>
    </row>
    <row r="453" spans="1:16" s="8" customFormat="1" ht="16" customHeight="1">
      <c r="A453" s="35" t="s">
        <v>36</v>
      </c>
      <c r="B453" s="23" t="s">
        <v>1330</v>
      </c>
      <c r="C453" s="24" t="s">
        <v>1312</v>
      </c>
      <c r="D453" s="24" t="s">
        <v>501</v>
      </c>
      <c r="E453" s="24" t="s">
        <v>546</v>
      </c>
      <c r="F453" s="23">
        <v>7</v>
      </c>
      <c r="G453" s="23" t="s">
        <v>592</v>
      </c>
      <c r="H453" s="23">
        <v>7</v>
      </c>
      <c r="I453" s="23" t="s">
        <v>592</v>
      </c>
      <c r="J453" s="25" t="b">
        <v>1</v>
      </c>
      <c r="K453" s="25" t="b">
        <v>1</v>
      </c>
      <c r="L453" s="23">
        <v>1</v>
      </c>
      <c r="M453" s="23" t="s">
        <v>17</v>
      </c>
      <c r="N453" s="23" t="s">
        <v>17</v>
      </c>
      <c r="O453" s="23" t="s">
        <v>12</v>
      </c>
      <c r="P453" s="36" t="s">
        <v>13</v>
      </c>
    </row>
    <row r="454" spans="1:16" s="8" customFormat="1" ht="16" customHeight="1">
      <c r="A454" s="35" t="s">
        <v>47</v>
      </c>
      <c r="B454" s="23" t="s">
        <v>1330</v>
      </c>
      <c r="C454" s="24" t="s">
        <v>1120</v>
      </c>
      <c r="D454" s="24" t="s">
        <v>119</v>
      </c>
      <c r="E454" s="24" t="s">
        <v>546</v>
      </c>
      <c r="F454" s="23">
        <v>7</v>
      </c>
      <c r="G454" s="23" t="s">
        <v>592</v>
      </c>
      <c r="H454" s="23">
        <v>7</v>
      </c>
      <c r="I454" s="23" t="s">
        <v>592</v>
      </c>
      <c r="J454" s="25" t="b">
        <v>1</v>
      </c>
      <c r="K454" s="25" t="b">
        <v>1</v>
      </c>
      <c r="L454" s="23">
        <v>6</v>
      </c>
      <c r="M454" s="23" t="s">
        <v>17</v>
      </c>
      <c r="N454" s="23" t="s">
        <v>17</v>
      </c>
      <c r="O454" s="23" t="s">
        <v>12</v>
      </c>
      <c r="P454" s="36" t="s">
        <v>13</v>
      </c>
    </row>
    <row r="455" spans="1:16" s="8" customFormat="1" ht="16" customHeight="1">
      <c r="A455" s="35" t="s">
        <v>94</v>
      </c>
      <c r="B455" s="23" t="s">
        <v>1330</v>
      </c>
      <c r="C455" s="24" t="s">
        <v>1120</v>
      </c>
      <c r="D455" s="24" t="s">
        <v>119</v>
      </c>
      <c r="E455" s="24" t="s">
        <v>546</v>
      </c>
      <c r="F455" s="23">
        <v>7</v>
      </c>
      <c r="G455" s="23" t="s">
        <v>592</v>
      </c>
      <c r="H455" s="23">
        <v>7</v>
      </c>
      <c r="I455" s="23" t="s">
        <v>592</v>
      </c>
      <c r="J455" s="25" t="b">
        <v>1</v>
      </c>
      <c r="K455" s="25" t="b">
        <v>1</v>
      </c>
      <c r="L455" s="23">
        <v>6</v>
      </c>
      <c r="M455" s="23" t="s">
        <v>17</v>
      </c>
      <c r="N455" s="23" t="s">
        <v>17</v>
      </c>
      <c r="O455" s="23" t="s">
        <v>12</v>
      </c>
      <c r="P455" s="36" t="s">
        <v>13</v>
      </c>
    </row>
    <row r="456" spans="1:16" s="8" customFormat="1" ht="16" customHeight="1">
      <c r="A456" s="35" t="s">
        <v>100</v>
      </c>
      <c r="B456" s="23" t="s">
        <v>1330</v>
      </c>
      <c r="C456" s="24" t="s">
        <v>1120</v>
      </c>
      <c r="D456" s="24" t="s">
        <v>119</v>
      </c>
      <c r="E456" s="24" t="s">
        <v>546</v>
      </c>
      <c r="F456" s="23">
        <v>7</v>
      </c>
      <c r="G456" s="23" t="s">
        <v>592</v>
      </c>
      <c r="H456" s="23">
        <v>7</v>
      </c>
      <c r="I456" s="23" t="s">
        <v>592</v>
      </c>
      <c r="J456" s="25" t="b">
        <v>1</v>
      </c>
      <c r="K456" s="25" t="b">
        <v>1</v>
      </c>
      <c r="L456" s="23">
        <v>6</v>
      </c>
      <c r="M456" s="23" t="s">
        <v>17</v>
      </c>
      <c r="N456" s="23" t="s">
        <v>17</v>
      </c>
      <c r="O456" s="23" t="s">
        <v>12</v>
      </c>
      <c r="P456" s="36" t="s">
        <v>13</v>
      </c>
    </row>
    <row r="457" spans="1:16" s="8" customFormat="1" ht="16" customHeight="1">
      <c r="A457" s="35" t="s">
        <v>101</v>
      </c>
      <c r="B457" s="23" t="s">
        <v>1330</v>
      </c>
      <c r="C457" s="24" t="s">
        <v>1120</v>
      </c>
      <c r="D457" s="24" t="s">
        <v>119</v>
      </c>
      <c r="E457" s="24" t="s">
        <v>546</v>
      </c>
      <c r="F457" s="23">
        <v>7</v>
      </c>
      <c r="G457" s="23" t="s">
        <v>592</v>
      </c>
      <c r="H457" s="23">
        <v>7</v>
      </c>
      <c r="I457" s="23" t="s">
        <v>592</v>
      </c>
      <c r="J457" s="25" t="b">
        <v>1</v>
      </c>
      <c r="K457" s="25" t="b">
        <v>1</v>
      </c>
      <c r="L457" s="23">
        <v>6</v>
      </c>
      <c r="M457" s="23" t="s">
        <v>17</v>
      </c>
      <c r="N457" s="23" t="s">
        <v>17</v>
      </c>
      <c r="O457" s="23" t="s">
        <v>12</v>
      </c>
      <c r="P457" s="36" t="s">
        <v>13</v>
      </c>
    </row>
    <row r="458" spans="1:16" s="8" customFormat="1" ht="16" customHeight="1">
      <c r="A458" s="35" t="s">
        <v>104</v>
      </c>
      <c r="B458" s="23" t="s">
        <v>1330</v>
      </c>
      <c r="C458" s="24" t="s">
        <v>1311</v>
      </c>
      <c r="D458" s="24" t="s">
        <v>511</v>
      </c>
      <c r="E458" s="24" t="s">
        <v>546</v>
      </c>
      <c r="F458" s="23">
        <v>7</v>
      </c>
      <c r="G458" s="23" t="s">
        <v>670</v>
      </c>
      <c r="H458" s="23">
        <v>7</v>
      </c>
      <c r="I458" s="23" t="s">
        <v>592</v>
      </c>
      <c r="J458" s="25" t="b">
        <v>1</v>
      </c>
      <c r="K458" s="25" t="b">
        <v>1</v>
      </c>
      <c r="L458" s="23">
        <v>1</v>
      </c>
      <c r="M458" s="23" t="s">
        <v>17</v>
      </c>
      <c r="N458" s="23" t="s">
        <v>17</v>
      </c>
      <c r="O458" s="23" t="s">
        <v>12</v>
      </c>
      <c r="P458" s="36" t="s">
        <v>13</v>
      </c>
    </row>
    <row r="459" spans="1:16" s="8" customFormat="1" ht="16" customHeight="1">
      <c r="A459" s="35" t="s">
        <v>109</v>
      </c>
      <c r="B459" s="23" t="s">
        <v>1330</v>
      </c>
      <c r="C459" s="24" t="s">
        <v>1120</v>
      </c>
      <c r="D459" s="24" t="s">
        <v>119</v>
      </c>
      <c r="E459" s="24" t="s">
        <v>546</v>
      </c>
      <c r="F459" s="23">
        <v>7</v>
      </c>
      <c r="G459" s="23" t="s">
        <v>592</v>
      </c>
      <c r="H459" s="23">
        <v>7</v>
      </c>
      <c r="I459" s="23" t="s">
        <v>592</v>
      </c>
      <c r="J459" s="25" t="b">
        <v>1</v>
      </c>
      <c r="K459" s="25" t="b">
        <v>1</v>
      </c>
      <c r="L459" s="23">
        <v>6</v>
      </c>
      <c r="M459" s="23" t="s">
        <v>17</v>
      </c>
      <c r="N459" s="23" t="s">
        <v>17</v>
      </c>
      <c r="O459" s="23" t="s">
        <v>12</v>
      </c>
      <c r="P459" s="36" t="s">
        <v>13</v>
      </c>
    </row>
    <row r="460" spans="1:16" s="8" customFormat="1" ht="16" customHeight="1">
      <c r="A460" s="35" t="s">
        <v>23</v>
      </c>
      <c r="B460" s="23" t="s">
        <v>1330</v>
      </c>
      <c r="C460" s="24" t="s">
        <v>1307</v>
      </c>
      <c r="D460" s="24" t="s">
        <v>503</v>
      </c>
      <c r="E460" s="24" t="s">
        <v>504</v>
      </c>
      <c r="F460" s="23">
        <v>7</v>
      </c>
      <c r="G460" s="23" t="s">
        <v>1038</v>
      </c>
      <c r="H460" s="23">
        <v>7</v>
      </c>
      <c r="I460" s="23" t="s">
        <v>1038</v>
      </c>
      <c r="J460" s="25" t="b">
        <v>0</v>
      </c>
      <c r="K460" s="25" t="b">
        <v>0</v>
      </c>
      <c r="L460" s="23">
        <v>1</v>
      </c>
      <c r="M460" s="23" t="s">
        <v>17</v>
      </c>
      <c r="N460" s="23" t="s">
        <v>17</v>
      </c>
      <c r="O460" s="23" t="s">
        <v>12</v>
      </c>
      <c r="P460" s="36" t="s">
        <v>13</v>
      </c>
    </row>
    <row r="461" spans="1:16" s="8" customFormat="1" ht="16" customHeight="1">
      <c r="A461" s="35" t="s">
        <v>70</v>
      </c>
      <c r="B461" s="23" t="s">
        <v>1330</v>
      </c>
      <c r="C461" s="24" t="s">
        <v>1319</v>
      </c>
      <c r="D461" s="24" t="s">
        <v>531</v>
      </c>
      <c r="E461" s="24" t="s">
        <v>532</v>
      </c>
      <c r="F461" s="23">
        <v>9</v>
      </c>
      <c r="G461" s="23" t="s">
        <v>979</v>
      </c>
      <c r="H461" s="23">
        <v>9</v>
      </c>
      <c r="I461" s="23" t="s">
        <v>979</v>
      </c>
      <c r="J461" s="25" t="b">
        <v>1</v>
      </c>
      <c r="K461" s="25" t="b">
        <v>0</v>
      </c>
      <c r="L461" s="23">
        <v>1</v>
      </c>
      <c r="M461" s="23" t="s">
        <v>17</v>
      </c>
      <c r="N461" s="23" t="s">
        <v>17</v>
      </c>
      <c r="O461" s="23" t="s">
        <v>12</v>
      </c>
      <c r="P461" s="36" t="s">
        <v>13</v>
      </c>
    </row>
    <row r="462" spans="1:16" s="8" customFormat="1" ht="16" customHeight="1">
      <c r="A462" s="35" t="s">
        <v>109</v>
      </c>
      <c r="B462" s="23" t="s">
        <v>1330</v>
      </c>
      <c r="C462" s="24" t="s">
        <v>1318</v>
      </c>
      <c r="D462" s="24" t="s">
        <v>535</v>
      </c>
      <c r="E462" s="24" t="s">
        <v>536</v>
      </c>
      <c r="F462" s="23">
        <v>9</v>
      </c>
      <c r="G462" s="23" t="s">
        <v>1050</v>
      </c>
      <c r="H462" s="23">
        <v>9</v>
      </c>
      <c r="I462" s="23" t="s">
        <v>1050</v>
      </c>
      <c r="J462" s="25" t="b">
        <v>1</v>
      </c>
      <c r="K462" s="25" t="b">
        <v>0</v>
      </c>
      <c r="L462" s="23">
        <v>1</v>
      </c>
      <c r="M462" s="23" t="s">
        <v>17</v>
      </c>
      <c r="N462" s="23" t="s">
        <v>17</v>
      </c>
      <c r="O462" s="23" t="s">
        <v>12</v>
      </c>
      <c r="P462" s="36" t="s">
        <v>13</v>
      </c>
    </row>
    <row r="463" spans="1:16" s="8" customFormat="1" ht="16" customHeight="1">
      <c r="A463" s="35" t="s">
        <v>96</v>
      </c>
      <c r="B463" s="23" t="s">
        <v>1330</v>
      </c>
      <c r="C463" s="24" t="s">
        <v>1320</v>
      </c>
      <c r="D463" s="24" t="s">
        <v>537</v>
      </c>
      <c r="E463" s="24" t="s">
        <v>538</v>
      </c>
      <c r="F463" s="23">
        <v>9</v>
      </c>
      <c r="G463" s="23" t="s">
        <v>1050</v>
      </c>
      <c r="H463" s="23">
        <v>9</v>
      </c>
      <c r="I463" s="23" t="s">
        <v>1054</v>
      </c>
      <c r="J463" s="25" t="b">
        <v>1</v>
      </c>
      <c r="K463" s="25" t="b">
        <v>1</v>
      </c>
      <c r="L463" s="23">
        <v>1</v>
      </c>
      <c r="M463" s="23" t="s">
        <v>17</v>
      </c>
      <c r="N463" s="23" t="s">
        <v>17</v>
      </c>
      <c r="O463" s="23" t="s">
        <v>12</v>
      </c>
      <c r="P463" s="36" t="s">
        <v>13</v>
      </c>
    </row>
    <row r="464" spans="1:16" s="8" customFormat="1" ht="16" customHeight="1">
      <c r="A464" s="35" t="s">
        <v>103</v>
      </c>
      <c r="B464" s="23" t="s">
        <v>1330</v>
      </c>
      <c r="C464" s="24" t="s">
        <v>1321</v>
      </c>
      <c r="D464" s="24" t="s">
        <v>529</v>
      </c>
      <c r="E464" s="24" t="s">
        <v>530</v>
      </c>
      <c r="F464" s="23">
        <v>9</v>
      </c>
      <c r="G464" s="23" t="s">
        <v>1087</v>
      </c>
      <c r="H464" s="23">
        <v>9</v>
      </c>
      <c r="I464" s="23" t="s">
        <v>1087</v>
      </c>
      <c r="J464" s="25" t="b">
        <v>0</v>
      </c>
      <c r="K464" s="25" t="b">
        <v>0</v>
      </c>
      <c r="L464" s="23">
        <v>1</v>
      </c>
      <c r="M464" s="23" t="s">
        <v>17</v>
      </c>
      <c r="N464" s="23" t="s">
        <v>17</v>
      </c>
      <c r="O464" s="23" t="s">
        <v>12</v>
      </c>
      <c r="P464" s="36" t="s">
        <v>13</v>
      </c>
    </row>
    <row r="465" spans="1:16" s="8" customFormat="1" ht="16" customHeight="1" thickBot="1">
      <c r="A465" s="37" t="s">
        <v>103</v>
      </c>
      <c r="B465" s="38" t="s">
        <v>1330</v>
      </c>
      <c r="C465" s="39" t="s">
        <v>1322</v>
      </c>
      <c r="D465" s="39" t="s">
        <v>160</v>
      </c>
      <c r="E465" s="39" t="s">
        <v>427</v>
      </c>
      <c r="F465" s="38">
        <v>9</v>
      </c>
      <c r="G465" s="38" t="s">
        <v>979</v>
      </c>
      <c r="H465" s="38">
        <v>9</v>
      </c>
      <c r="I465" s="38" t="s">
        <v>979</v>
      </c>
      <c r="J465" s="40" t="b">
        <v>1</v>
      </c>
      <c r="K465" s="40" t="b">
        <v>1</v>
      </c>
      <c r="L465" s="38">
        <v>1</v>
      </c>
      <c r="M465" s="38" t="s">
        <v>17</v>
      </c>
      <c r="N465" s="38" t="s">
        <v>17</v>
      </c>
      <c r="O465" s="38" t="s">
        <v>12</v>
      </c>
      <c r="P465" s="41" t="s">
        <v>13</v>
      </c>
    </row>
    <row r="466" spans="1:16" s="8" customFormat="1" ht="16" customHeight="1">
      <c r="A466" s="6"/>
      <c r="B466" s="6"/>
      <c r="C466" s="7"/>
      <c r="D466" s="7"/>
      <c r="E466" s="7"/>
      <c r="F466" s="6"/>
      <c r="G466" s="6"/>
      <c r="H466" s="6"/>
      <c r="I466" s="6"/>
      <c r="L466" s="6"/>
      <c r="M466" s="6"/>
      <c r="N466" s="6"/>
      <c r="O466" s="6"/>
      <c r="P466" s="6"/>
    </row>
    <row r="467" spans="1:16" s="8" customFormat="1" ht="16" customHeight="1">
      <c r="A467" s="6"/>
      <c r="B467" s="6"/>
      <c r="C467" s="7"/>
      <c r="D467" s="7"/>
      <c r="E467" s="7"/>
      <c r="F467" s="6"/>
      <c r="G467" s="6"/>
      <c r="H467" s="6"/>
      <c r="I467" s="6"/>
      <c r="L467" s="6"/>
      <c r="M467" s="6"/>
      <c r="N467" s="6"/>
      <c r="O467" s="6"/>
      <c r="P467" s="6"/>
    </row>
  </sheetData>
  <sortState ref="A2:P239">
    <sortCondition ref="I205"/>
  </sortState>
  <phoneticPr fontId="6" type="noConversion"/>
  <pageMargins left="0.7" right="0.7" top="0.75" bottom="0.75" header="0.3" footer="0.3"/>
  <pageSetup scale="46" fitToHeight="13" orientation="portrait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Genomic Rearrangements</vt:lpstr>
    </vt:vector>
  </TitlesOfParts>
  <Company>M. D. Anderson Cancer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Verhaak,Roeland</dc:creator>
  <cp:lastModifiedBy>Brennan</cp:lastModifiedBy>
  <cp:lastPrinted>2013-08-19T02:31:22Z</cp:lastPrinted>
  <dcterms:created xsi:type="dcterms:W3CDTF">2012-10-06T19:36:38Z</dcterms:created>
  <dcterms:modified xsi:type="dcterms:W3CDTF">2013-08-19T02:31:25Z</dcterms:modified>
</cp:coreProperties>
</file>